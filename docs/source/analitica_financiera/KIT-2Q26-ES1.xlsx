
<file path=[Content_Types].xml><?xml version="1.0" encoding="utf-8"?>
<Types xmlns="http://schemas.openxmlformats.org/package/2006/content-types">
  <Default Extension="bin" ContentType="application/vnd.openxmlformats-officedocument.spreadsheetml.customProperty"/>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rinterSettings/printerSettings1.bin" ContentType="application/vnd.openxmlformats-officedocument.spreadsheetml.printerSettings"/>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printerSettings/printerSettings2.bin" ContentType="application/vnd.openxmlformats-officedocument.spreadsheetml.printerSettings"/>
  <Override PartName="/xl/drawings/drawing3.xml" ContentType="application/vnd.openxmlformats-officedocument.drawing+xml"/>
  <Override PartName="/xl/comments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officeDocument/2006/relationships/custom-properties" Target="docProps/custom.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https://argoscorp.sharepoint.com/sites/RelacinconInversionistas/Documentos compartidos/Relación con Inversionistas/Resultados Trimestrales/2026/2Q26/ESP/Versiones Finales/"/>
    </mc:Choice>
  </mc:AlternateContent>
  <xr:revisionPtr revIDLastSave="2197" documentId="8_{D0FC18D7-10E6-4AA5-8A83-E795DD0AA366}" xr6:coauthVersionLast="47" xr6:coauthVersionMax="47" xr10:uidLastSave="{CD585821-5F72-4355-9658-215D485A6FAA}"/>
  <bookViews>
    <workbookView xWindow="28680" yWindow="-120" windowWidth="29040" windowHeight="15720" xr2:uid="{BCAC16E4-5E89-4E3D-9DA8-7E221F23B162}"/>
  </bookViews>
  <sheets>
    <sheet name="Balance" sheetId="1" r:id="rId1"/>
    <sheet name="Estado de Resultados" sheetId="2" r:id="rId2"/>
    <sheet name="Flujo de Caja" sheetId="3" r:id="rId3"/>
    <sheet name="Cifras Ajustadas por región" sheetId="5" r:id="rId4"/>
    <sheet name="Precios" sheetId="4" r:id="rId5"/>
  </sheets>
  <definedNames>
    <definedName name="_Int_f00XB3gP" localSheetId="0">Balance!$B$56</definedName>
    <definedName name="_Int_uKMhTnvy" localSheetId="0">Balance!$B$59</definedName>
    <definedName name="_Int_X8Aw4wXX" localSheetId="0">Balance!$B$67</definedName>
    <definedName name="_Int_xtIaHJ7G" localSheetId="0">Balance!$B$45</definedName>
  </definedName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36" i="5" l="1"/>
  <c r="U9" i="2"/>
  <c r="V73" i="5"/>
  <c r="V63" i="5"/>
  <c r="V62" i="5"/>
  <c r="V66" i="5" s="1"/>
  <c r="V61" i="5"/>
  <c r="V65" i="5" s="1"/>
  <c r="V60" i="5"/>
  <c r="V64" i="5" s="1"/>
  <c r="V59" i="5"/>
  <c r="V58" i="5"/>
  <c r="V57" i="5"/>
  <c r="V56" i="5"/>
  <c r="V55" i="5"/>
  <c r="V54" i="5"/>
  <c r="V53" i="5"/>
  <c r="V52" i="5"/>
  <c r="V51" i="5"/>
  <c r="V50" i="5"/>
  <c r="V49" i="5"/>
  <c r="V42" i="5"/>
  <c r="V43" i="5" s="1"/>
  <c r="V41" i="5"/>
  <c r="V40" i="5"/>
  <c r="V39" i="5"/>
  <c r="V38" i="5"/>
  <c r="V37" i="5"/>
  <c r="V19" i="5"/>
  <c r="V20" i="5" s="1"/>
  <c r="V17" i="5"/>
  <c r="V18" i="5" s="1"/>
  <c r="V16" i="5"/>
  <c r="V15" i="5"/>
  <c r="V14" i="5"/>
  <c r="Q66" i="5"/>
  <c r="Q65" i="5"/>
  <c r="Q64" i="5"/>
  <c r="Q43" i="5"/>
  <c r="Q20" i="5"/>
  <c r="Q18" i="5"/>
  <c r="T32" i="3"/>
  <c r="T13" i="3"/>
  <c r="T16" i="3" s="1"/>
  <c r="T18" i="3" s="1"/>
  <c r="T22" i="3" s="1"/>
  <c r="T24" i="3" s="1"/>
  <c r="T27" i="3" s="1"/>
  <c r="T30" i="3" s="1"/>
  <c r="T33" i="3" s="1"/>
  <c r="U39" i="2"/>
  <c r="U38" i="2"/>
  <c r="U37" i="2"/>
  <c r="U36" i="2"/>
  <c r="U35" i="2"/>
  <c r="U32" i="2"/>
  <c r="U31" i="2"/>
  <c r="U30" i="2"/>
  <c r="U29" i="2"/>
  <c r="U28" i="2"/>
  <c r="U27" i="2"/>
  <c r="U26" i="2"/>
  <c r="U24" i="2"/>
  <c r="U23" i="2"/>
  <c r="U22" i="2"/>
  <c r="U21" i="2"/>
  <c r="U20" i="2"/>
  <c r="U19" i="2"/>
  <c r="U18" i="2"/>
  <c r="U17" i="2"/>
  <c r="U16" i="2"/>
  <c r="U15" i="2"/>
  <c r="U14" i="2"/>
  <c r="U13" i="2"/>
  <c r="U12" i="2"/>
  <c r="U11" i="2"/>
  <c r="U10" i="2"/>
  <c r="P37" i="2"/>
  <c r="P20" i="2"/>
  <c r="O45" i="1"/>
  <c r="L67" i="1"/>
  <c r="M67" i="1"/>
  <c r="U40" i="2" l="1"/>
  <c r="P64" i="5"/>
  <c r="P65" i="5"/>
  <c r="P66" i="5"/>
  <c r="P43" i="5"/>
  <c r="P20" i="5" l="1"/>
  <c r="P18" i="5"/>
  <c r="W32" i="3"/>
  <c r="W31" i="3"/>
  <c r="W30" i="3"/>
  <c r="W33" i="3" s="1"/>
  <c r="W29" i="3"/>
  <c r="W28" i="3"/>
  <c r="W27" i="3"/>
  <c r="W26" i="3"/>
  <c r="W25" i="3"/>
  <c r="W24" i="3"/>
  <c r="W23" i="3"/>
  <c r="W22" i="3"/>
  <c r="W21" i="3"/>
  <c r="W20" i="3"/>
  <c r="W19" i="3"/>
  <c r="W18" i="3"/>
  <c r="W17" i="3"/>
  <c r="W16" i="3"/>
  <c r="W15" i="3"/>
  <c r="W14" i="3"/>
  <c r="W13" i="3"/>
  <c r="W11" i="3"/>
  <c r="W10" i="3"/>
  <c r="W9" i="3"/>
  <c r="W8" i="3"/>
  <c r="S32" i="3"/>
  <c r="S13" i="3"/>
  <c r="S16" i="3" s="1"/>
  <c r="S18" i="3" s="1"/>
  <c r="S22" i="3" s="1"/>
  <c r="S24" i="3" s="1"/>
  <c r="S27" i="3" s="1"/>
  <c r="S30" i="3" s="1"/>
  <c r="S33" i="3" s="1"/>
  <c r="O37" i="2" l="1"/>
  <c r="O11" i="2"/>
  <c r="O14" i="2" s="1"/>
  <c r="O20" i="2" l="1"/>
  <c r="U14" i="5"/>
  <c r="T31" i="2"/>
  <c r="R31" i="2"/>
  <c r="S31" i="2"/>
  <c r="O29" i="2" l="1"/>
  <c r="T17" i="2"/>
  <c r="U73" i="5" l="1"/>
  <c r="U63" i="5"/>
  <c r="U62" i="5"/>
  <c r="U61" i="5"/>
  <c r="U60" i="5"/>
  <c r="U59" i="5"/>
  <c r="U58" i="5"/>
  <c r="U57" i="5"/>
  <c r="U56" i="5"/>
  <c r="U55" i="5"/>
  <c r="U54" i="5"/>
  <c r="U53" i="5"/>
  <c r="U52" i="5"/>
  <c r="U51" i="5"/>
  <c r="U50" i="5"/>
  <c r="U49" i="5"/>
  <c r="U42" i="5"/>
  <c r="U41" i="5"/>
  <c r="U40" i="5"/>
  <c r="U39" i="5"/>
  <c r="U38" i="5"/>
  <c r="U37" i="5"/>
  <c r="U36" i="5"/>
  <c r="U19" i="5"/>
  <c r="U20" i="5" s="1"/>
  <c r="U17" i="5"/>
  <c r="U16" i="5"/>
  <c r="U15" i="5"/>
  <c r="O65" i="5"/>
  <c r="O64" i="5"/>
  <c r="O66" i="5"/>
  <c r="O43" i="5"/>
  <c r="O20" i="5"/>
  <c r="O18" i="5"/>
  <c r="R31" i="3" l="1"/>
  <c r="R30" i="3"/>
  <c r="R29" i="3"/>
  <c r="R28" i="3"/>
  <c r="R27" i="3"/>
  <c r="R26" i="3"/>
  <c r="R25" i="3"/>
  <c r="R24" i="3"/>
  <c r="R23" i="3"/>
  <c r="R22" i="3"/>
  <c r="R21" i="3"/>
  <c r="R20" i="3"/>
  <c r="R19" i="3"/>
  <c r="R18" i="3"/>
  <c r="R17" i="3"/>
  <c r="R16" i="3"/>
  <c r="R15" i="3"/>
  <c r="R14" i="3"/>
  <c r="R13" i="3"/>
  <c r="R11" i="3"/>
  <c r="R10" i="3"/>
  <c r="R9" i="3"/>
  <c r="R8" i="3"/>
  <c r="N33" i="3"/>
  <c r="R32" i="3" l="1"/>
  <c r="R33" i="3" l="1"/>
  <c r="T39" i="2" l="1"/>
  <c r="T38" i="2"/>
  <c r="T37" i="2"/>
  <c r="T36" i="2"/>
  <c r="T35" i="2"/>
  <c r="T32" i="2"/>
  <c r="T30" i="2"/>
  <c r="T29" i="2"/>
  <c r="T28" i="2"/>
  <c r="T27" i="2"/>
  <c r="T26" i="2"/>
  <c r="T24" i="2"/>
  <c r="T23" i="2"/>
  <c r="T22" i="2"/>
  <c r="T21" i="2"/>
  <c r="T19" i="2"/>
  <c r="T18" i="2"/>
  <c r="T16" i="2"/>
  <c r="T15" i="2"/>
  <c r="T13" i="2"/>
  <c r="T12" i="2"/>
  <c r="T11" i="2"/>
  <c r="T10" i="2"/>
  <c r="T9" i="2"/>
  <c r="N14" i="2"/>
  <c r="N20" i="2" s="1"/>
  <c r="T40" i="2" l="1"/>
  <c r="N64" i="5" l="1"/>
  <c r="N65" i="5"/>
  <c r="N66" i="5"/>
  <c r="N43" i="5"/>
  <c r="N20" i="5"/>
  <c r="N18" i="5"/>
  <c r="M14" i="2" l="1"/>
  <c r="T14" i="2" s="1"/>
  <c r="M20" i="2" l="1"/>
  <c r="T20" i="2" s="1"/>
  <c r="K67" i="1" l="1"/>
  <c r="K31" i="1"/>
  <c r="M72" i="5" l="1"/>
  <c r="M64" i="5"/>
  <c r="M65" i="5"/>
  <c r="M66" i="5"/>
  <c r="M43" i="5"/>
  <c r="M20" i="5"/>
  <c r="M18" i="5"/>
  <c r="M48" i="5" l="1"/>
  <c r="G8" i="3" l="1"/>
  <c r="S15" i="5" l="1"/>
  <c r="T15" i="5"/>
  <c r="J67" i="1"/>
  <c r="G30" i="3" l="1"/>
  <c r="U72" i="5"/>
  <c r="L78" i="5" l="1"/>
  <c r="L72" i="5"/>
  <c r="U64" i="5"/>
  <c r="U65" i="5"/>
  <c r="U66" i="5"/>
  <c r="L65" i="5"/>
  <c r="L66" i="5"/>
  <c r="L64" i="5"/>
  <c r="U43" i="5" l="1"/>
  <c r="L18" i="5"/>
  <c r="L20" i="5"/>
  <c r="L43" i="5"/>
  <c r="U18" i="5"/>
  <c r="S9" i="2" l="1"/>
  <c r="R9" i="2"/>
  <c r="S14" i="5" l="1"/>
  <c r="K78" i="5"/>
  <c r="J78" i="5"/>
  <c r="T73" i="5"/>
  <c r="S73" i="5"/>
  <c r="T72" i="5"/>
  <c r="S72" i="5"/>
  <c r="K72" i="5"/>
  <c r="J72" i="5"/>
  <c r="K66" i="5"/>
  <c r="J66" i="5"/>
  <c r="K65" i="5"/>
  <c r="J65" i="5"/>
  <c r="K64" i="5"/>
  <c r="J64" i="5"/>
  <c r="T63" i="5"/>
  <c r="S63" i="5"/>
  <c r="T62" i="5"/>
  <c r="S62" i="5"/>
  <c r="T61" i="5"/>
  <c r="S61" i="5"/>
  <c r="T60" i="5"/>
  <c r="T59" i="5"/>
  <c r="S59" i="5"/>
  <c r="T58" i="5"/>
  <c r="S58" i="5"/>
  <c r="T57" i="5"/>
  <c r="S57" i="5"/>
  <c r="T56" i="5"/>
  <c r="T55" i="5"/>
  <c r="S55" i="5"/>
  <c r="T54" i="5"/>
  <c r="S54" i="5"/>
  <c r="T53" i="5"/>
  <c r="T52" i="5"/>
  <c r="S52" i="5"/>
  <c r="T51" i="5"/>
  <c r="S51" i="5"/>
  <c r="T50" i="5"/>
  <c r="S50" i="5"/>
  <c r="T49" i="5"/>
  <c r="K48" i="5"/>
  <c r="J48" i="5"/>
  <c r="K43" i="5"/>
  <c r="J43" i="5"/>
  <c r="T42" i="5"/>
  <c r="S42" i="5"/>
  <c r="T41" i="5"/>
  <c r="S41" i="5"/>
  <c r="T40" i="5"/>
  <c r="S40" i="5"/>
  <c r="T39" i="5"/>
  <c r="S39" i="5"/>
  <c r="T38" i="5"/>
  <c r="S38" i="5"/>
  <c r="T37" i="5"/>
  <c r="S37" i="5"/>
  <c r="T36" i="5"/>
  <c r="K35" i="5"/>
  <c r="J35" i="5"/>
  <c r="K20" i="5"/>
  <c r="J20" i="5"/>
  <c r="T19" i="5"/>
  <c r="S19" i="5"/>
  <c r="K18" i="5"/>
  <c r="J18" i="5"/>
  <c r="T17" i="5"/>
  <c r="S17" i="5"/>
  <c r="T16" i="5"/>
  <c r="S16" i="5"/>
  <c r="T14" i="5"/>
  <c r="L32" i="3"/>
  <c r="L33" i="3" s="1"/>
  <c r="G32" i="3"/>
  <c r="G33" i="3" s="1"/>
  <c r="L30" i="3"/>
  <c r="L29" i="3"/>
  <c r="G29" i="3"/>
  <c r="L28" i="3"/>
  <c r="G28" i="3"/>
  <c r="L27" i="3"/>
  <c r="G27" i="3"/>
  <c r="L26" i="3"/>
  <c r="G26" i="3"/>
  <c r="L25" i="3"/>
  <c r="G25" i="3"/>
  <c r="L24" i="3"/>
  <c r="G24" i="3"/>
  <c r="L23" i="3"/>
  <c r="G23" i="3"/>
  <c r="L22" i="3"/>
  <c r="G22" i="3"/>
  <c r="L21" i="3"/>
  <c r="G21" i="3"/>
  <c r="L20" i="3"/>
  <c r="G20" i="3"/>
  <c r="L19" i="3"/>
  <c r="G19" i="3"/>
  <c r="L18" i="3"/>
  <c r="G18" i="3"/>
  <c r="L17" i="3"/>
  <c r="G17" i="3"/>
  <c r="L16" i="3"/>
  <c r="G16" i="3"/>
  <c r="L15" i="3"/>
  <c r="G15" i="3"/>
  <c r="L14" i="3"/>
  <c r="G14" i="3"/>
  <c r="L13" i="3"/>
  <c r="G13" i="3"/>
  <c r="L11" i="3"/>
  <c r="G11" i="3"/>
  <c r="L10" i="3"/>
  <c r="G10" i="3"/>
  <c r="L9" i="3"/>
  <c r="G9" i="3"/>
  <c r="L8" i="3"/>
  <c r="S39" i="2"/>
  <c r="S40" i="2" s="1"/>
  <c r="R39" i="2"/>
  <c r="R40" i="2" s="1"/>
  <c r="S38" i="2"/>
  <c r="R38" i="2"/>
  <c r="S36" i="2"/>
  <c r="R36" i="2"/>
  <c r="S35" i="2"/>
  <c r="R35" i="2"/>
  <c r="S30" i="2"/>
  <c r="R30" i="2"/>
  <c r="S28" i="2"/>
  <c r="R28" i="2"/>
  <c r="S27" i="2"/>
  <c r="R27" i="2"/>
  <c r="S26" i="2"/>
  <c r="R26" i="2"/>
  <c r="S24" i="2"/>
  <c r="R24" i="2"/>
  <c r="S23" i="2"/>
  <c r="R23" i="2"/>
  <c r="S22" i="2"/>
  <c r="R22" i="2"/>
  <c r="S21" i="2"/>
  <c r="R21" i="2"/>
  <c r="S19" i="2"/>
  <c r="R19" i="2"/>
  <c r="S18" i="2"/>
  <c r="R18" i="2"/>
  <c r="S17" i="2"/>
  <c r="R17" i="2"/>
  <c r="S16" i="2"/>
  <c r="R16" i="2"/>
  <c r="S15" i="2"/>
  <c r="R15" i="2"/>
  <c r="S13" i="2"/>
  <c r="R13" i="2"/>
  <c r="S12" i="2"/>
  <c r="R12" i="2"/>
  <c r="S11" i="2"/>
  <c r="S10" i="2"/>
  <c r="R10" i="2"/>
  <c r="H67" i="1"/>
  <c r="I67" i="1"/>
  <c r="S20" i="5" l="1"/>
  <c r="T20" i="5"/>
  <c r="S43" i="5"/>
  <c r="T65" i="5"/>
  <c r="S65" i="5"/>
  <c r="T66" i="5"/>
  <c r="S18" i="5"/>
  <c r="S66" i="5"/>
  <c r="T64" i="5"/>
  <c r="T43" i="5"/>
  <c r="T18" i="5"/>
  <c r="I20" i="5"/>
  <c r="I18" i="5"/>
  <c r="H20" i="2" l="1"/>
  <c r="I78" i="5" l="1"/>
  <c r="H78" i="5"/>
  <c r="I72" i="5"/>
  <c r="H72" i="5"/>
  <c r="I64" i="5"/>
  <c r="I65" i="5"/>
  <c r="I66" i="5"/>
  <c r="I48" i="5"/>
  <c r="H48" i="5"/>
  <c r="I43" i="5"/>
  <c r="I35" i="5"/>
  <c r="H35" i="5"/>
  <c r="H64" i="5" l="1"/>
  <c r="H65" i="5"/>
  <c r="H66" i="5"/>
  <c r="H43" i="5"/>
  <c r="H20" i="5"/>
  <c r="H18" i="5"/>
  <c r="S37" i="2" l="1"/>
  <c r="G14" i="2"/>
  <c r="S14" i="2" s="1"/>
  <c r="F67" i="1"/>
  <c r="G20" i="2" l="1"/>
  <c r="S20" i="2" s="1"/>
  <c r="G66" i="5"/>
  <c r="G65" i="5"/>
  <c r="G60" i="5"/>
  <c r="S60" i="5" s="1"/>
  <c r="G56" i="5"/>
  <c r="G53" i="5"/>
  <c r="S53" i="5" s="1"/>
  <c r="G49" i="5"/>
  <c r="S49" i="5" s="1"/>
  <c r="G43" i="5"/>
  <c r="G36" i="5"/>
  <c r="S36" i="5" s="1"/>
  <c r="G30" i="5"/>
  <c r="G20" i="5"/>
  <c r="G18" i="5"/>
  <c r="F37" i="2"/>
  <c r="F11" i="2"/>
  <c r="F14" i="2" s="1"/>
  <c r="F20" i="2" s="1"/>
  <c r="F29" i="2" s="1"/>
  <c r="E64" i="1"/>
  <c r="E56" i="1"/>
  <c r="E45" i="1"/>
  <c r="E28" i="1"/>
  <c r="E15" i="1"/>
  <c r="F66" i="5"/>
  <c r="F65" i="5"/>
  <c r="F64" i="5"/>
  <c r="F32" i="2" l="1"/>
  <c r="G64" i="5"/>
  <c r="S56" i="5"/>
  <c r="S64" i="5" s="1"/>
  <c r="G29" i="2"/>
  <c r="E31" i="1"/>
  <c r="E59" i="1"/>
  <c r="E67" i="1" s="1"/>
  <c r="E66" i="5"/>
  <c r="E65" i="5"/>
  <c r="E64" i="5"/>
  <c r="F30" i="5"/>
  <c r="E30" i="5"/>
  <c r="F43" i="5"/>
  <c r="E43" i="5"/>
  <c r="F20" i="5"/>
  <c r="E20" i="5"/>
  <c r="F18" i="5"/>
  <c r="E18" i="5"/>
  <c r="D18" i="5"/>
  <c r="S29" i="2" l="1"/>
  <c r="S32" i="2"/>
  <c r="D66" i="5"/>
  <c r="D65" i="5"/>
  <c r="D64" i="5"/>
  <c r="D30" i="5"/>
  <c r="D43" i="5"/>
  <c r="D20" i="5"/>
  <c r="C37" i="2" l="1"/>
  <c r="C11" i="2"/>
  <c r="D37" i="2"/>
  <c r="D11" i="2"/>
  <c r="D14" i="2" s="1"/>
  <c r="D20" i="2" s="1"/>
  <c r="D29" i="2" s="1"/>
  <c r="E37" i="2"/>
  <c r="E11" i="2"/>
  <c r="E14" i="2" s="1"/>
  <c r="E20" i="2" s="1"/>
  <c r="E29" i="2" s="1"/>
  <c r="E32" i="2" l="1"/>
  <c r="D32" i="2"/>
  <c r="R11" i="2"/>
  <c r="R37" i="2"/>
  <c r="C14" i="2"/>
  <c r="R14" i="2" s="1"/>
  <c r="C20" i="2" l="1"/>
  <c r="R20" i="2" s="1"/>
  <c r="C29" i="2" l="1"/>
  <c r="R29" i="2" l="1"/>
  <c r="C32" i="2"/>
  <c r="R32"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Juan Santiago Alba Chica</author>
    <author>Susana Gaviria Ruiz</author>
  </authors>
  <commentList>
    <comment ref="G7" authorId="0" shapeId="0" xr:uid="{E7FC4E9A-BE06-4420-8D8B-8BDC8ECED12A}">
      <text>
        <r>
          <rPr>
            <b/>
            <sz val="9"/>
            <color indexed="81"/>
            <rFont val="Tahoma"/>
            <family val="2"/>
          </rPr>
          <t xml:space="preserve">Durante la llamada de resultados del 1T2025, se excluyeron las ganancias/pérdidas por el método de participación correspondientes a operaciones discontinuas del 1T2024, con el fin de garantizar una comparabilidad adecuada año contra año.
</t>
        </r>
      </text>
    </comment>
    <comment ref="H7" authorId="0" shapeId="0" xr:uid="{EF190689-AD04-4C9E-B9CF-0748EDB4FB58}">
      <text>
        <r>
          <rPr>
            <sz val="9"/>
            <color indexed="81"/>
            <rFont val="Tahoma"/>
            <family val="2"/>
          </rPr>
          <t>Durante la llamada de resultados del 2T2025, se excluyeron las ganancias/pérdidas por el método de participación correspondientes a operaciones discontinuas del 2T2024, con el fin de garantizar una comparabilidad adecuada año contra año.</t>
        </r>
      </text>
    </comment>
    <comment ref="I7" authorId="0" shapeId="0" xr:uid="{618BC7DA-56A1-40C9-AC9A-981CDD4E32A4}">
      <text>
        <r>
          <rPr>
            <sz val="9"/>
            <color indexed="81"/>
            <rFont val="Tahoma"/>
            <family val="2"/>
          </rPr>
          <t xml:space="preserve">
Durante la llamada de resultados del 3T2025, se excluyeron las ganancias/pérdidas por el método de participación correspondientes a operaciones discontinuas del 3T2024, con el fin de garantizar una comparabilidad adecuada año contra año.</t>
        </r>
      </text>
    </comment>
    <comment ref="R7" authorId="1" shapeId="0" xr:uid="{A09D5AB4-FF7E-4FF8-818D-AE9D268A2D71}">
      <text>
        <r>
          <rPr>
            <b/>
            <sz val="9"/>
            <color indexed="81"/>
            <rFont val="Tahoma"/>
            <family val="2"/>
          </rPr>
          <t>Includes Argos US results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Juan Santiago Alba Chica</author>
  </authors>
  <commentList>
    <comment ref="B31" authorId="0" shapeId="0" xr:uid="{449D159B-860D-4877-BFD2-07A0C537CC76}">
      <text>
        <r>
          <rPr>
            <sz val="9"/>
            <color indexed="81"/>
            <rFont val="Tahoma"/>
            <family val="2"/>
          </rPr>
          <t xml:space="preserve">
A partir de 2025, se ajustó la presentación del flujo de caja para mostrar de forma separada el efecto TRM y otros rubros no operacionales por debajo del Flujo de Caja Neto (línea 31). Previamente, estos conceptos se incluían de manera agregada dentro de “Desembolsos y pago de deuda” (línea 26).</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Juan Santiago Alba Chica</author>
    <author>Susana Gaviria Ruiz</author>
  </authors>
  <commentList>
    <comment ref="M14" authorId="0" shapeId="0" xr:uid="{6D5EDAB7-233B-4A09-A049-5024F794ACE9}">
      <text>
        <r>
          <rPr>
            <sz val="9"/>
            <color indexed="81"/>
            <rFont val="Tahoma"/>
            <family val="2"/>
          </rPr>
          <t xml:space="preserve">
En el 2T25, se incorporaron 52.400 toneladas en la división de trading que no habían sido previamente incluidas en el reporte, asegurando una divulgación precisa del volumen acumulado del año</t>
        </r>
      </text>
    </comment>
    <comment ref="D41" authorId="1" shapeId="0" xr:uid="{1B2AA655-9D8D-4AE8-B17E-E1B93023DD95}">
      <text>
        <r>
          <rPr>
            <b/>
            <sz val="9"/>
            <color indexed="81"/>
            <rFont val="Tahoma"/>
            <family val="2"/>
          </rPr>
          <t xml:space="preserve">Adjusted figures: </t>
        </r>
        <r>
          <rPr>
            <sz val="9"/>
            <color indexed="81"/>
            <rFont val="Tahoma"/>
            <family val="2"/>
          </rPr>
          <t>For a detailed reconciliation of the adjustments please refer tothe appendix of our results presentation</t>
        </r>
      </text>
    </comment>
    <comment ref="E41" authorId="1" shapeId="0" xr:uid="{A7D0CE94-6F69-4E85-99F1-A2F07CB5BA0F}">
      <text>
        <r>
          <rPr>
            <b/>
            <sz val="9"/>
            <color indexed="81"/>
            <rFont val="Tahoma"/>
            <family val="2"/>
          </rPr>
          <t xml:space="preserve">Adjusted figures: </t>
        </r>
        <r>
          <rPr>
            <sz val="9"/>
            <color indexed="81"/>
            <rFont val="Tahoma"/>
            <family val="2"/>
          </rPr>
          <t>For a detailed reconciliation of the adjustments please refer tothe appendix of our results presentation</t>
        </r>
      </text>
    </comment>
    <comment ref="F41" authorId="1" shapeId="0" xr:uid="{FC568E6C-F712-4C93-9E32-0A1771354D8F}">
      <text>
        <r>
          <rPr>
            <b/>
            <sz val="9"/>
            <color indexed="81"/>
            <rFont val="Tahoma"/>
            <family val="2"/>
          </rPr>
          <t xml:space="preserve">Adjusted figures: </t>
        </r>
        <r>
          <rPr>
            <sz val="9"/>
            <color indexed="81"/>
            <rFont val="Tahoma"/>
            <family val="2"/>
          </rPr>
          <t>For a detailed reconciliation of the adjustments please refer tothe appendix of our results presentation</t>
        </r>
      </text>
    </comment>
    <comment ref="M42" authorId="0" shapeId="0" xr:uid="{9EBE7896-2F2F-4AD5-8905-B5A043C9CCF9}">
      <text>
        <r>
          <rPr>
            <b/>
            <sz val="9"/>
            <color indexed="81"/>
            <rFont val="Tahoma"/>
            <family val="2"/>
          </rPr>
          <t>Juan Santiago Alba Chica:</t>
        </r>
        <r>
          <rPr>
            <sz val="9"/>
            <color indexed="81"/>
            <rFont val="Tahoma"/>
            <family val="2"/>
          </rPr>
          <t xml:space="preserve">
incorporan un ajuste en el 2T25 por COP 5.090 millones, previamente no incluido a nivel región correspodiente a esfuerzos de optimización de estructura. </t>
        </r>
      </text>
    </comment>
    <comment ref="M52" authorId="0" shapeId="0" xr:uid="{9F57E6FA-91E6-48EA-B9F5-0C1278803192}">
      <text>
        <r>
          <rPr>
            <sz val="9"/>
            <color indexed="81"/>
            <rFont val="Tahoma"/>
            <family val="2"/>
          </rPr>
          <t>En el 2T25, se incorporaron 52.400 toneladas en la división de trading que no habían sido previamente incluidas en el reporte, asegurando una divulgación precisa del volumen acumulado del año</t>
        </r>
      </text>
    </comment>
  </commentList>
</comments>
</file>

<file path=xl/sharedStrings.xml><?xml version="1.0" encoding="utf-8"?>
<sst xmlns="http://schemas.openxmlformats.org/spreadsheetml/2006/main" count="375" uniqueCount="169">
  <si>
    <t>EBITDA</t>
  </si>
  <si>
    <t>%</t>
  </si>
  <si>
    <t>Trading</t>
  </si>
  <si>
    <t>-</t>
  </si>
  <si>
    <t>(+) D&amp;A</t>
  </si>
  <si>
    <t>COP/USD</t>
  </si>
  <si>
    <t xml:space="preserve">Miles de Millones de pesos </t>
  </si>
  <si>
    <t>Accumulated</t>
  </si>
  <si>
    <t>1Q23</t>
  </si>
  <si>
    <t>2Q23</t>
  </si>
  <si>
    <t>4Q23</t>
  </si>
  <si>
    <t>3Q23</t>
  </si>
  <si>
    <t>US Region</t>
  </si>
  <si>
    <t>Colombia Region</t>
  </si>
  <si>
    <t>CCA Region</t>
  </si>
  <si>
    <t>Corporate</t>
  </si>
  <si>
    <t>Exchange rate</t>
  </si>
  <si>
    <t>1Q24</t>
  </si>
  <si>
    <t>Pre transaction figures</t>
  </si>
  <si>
    <t>2Q24</t>
  </si>
  <si>
    <t>3Q24</t>
  </si>
  <si>
    <t>ACTIVO</t>
  </si>
  <si>
    <t>Efectivo y equivalentes de efectivo  </t>
  </si>
  <si>
    <r>
      <t xml:space="preserve">Otros activos financieros </t>
    </r>
    <r>
      <rPr>
        <vertAlign val="superscript"/>
        <sz val="10"/>
        <color rgb="FF58595B"/>
        <rFont val="Trebuchet MS"/>
        <family val="2"/>
      </rPr>
      <t>(1)</t>
    </r>
    <r>
      <rPr>
        <sz val="10"/>
        <color rgb="FF58595B"/>
        <rFont val="Trebuchet MS"/>
        <family val="2"/>
      </rPr>
      <t> </t>
    </r>
  </si>
  <si>
    <t>Instrumentos financieros derivados </t>
  </si>
  <si>
    <t>Deudores comerciales y otras cuentas por cobrar, neto </t>
  </si>
  <si>
    <t>Activo por impuestos </t>
  </si>
  <si>
    <t>Inventarios </t>
  </si>
  <si>
    <t>Otros activos no financieros </t>
  </si>
  <si>
    <t>Activos mantenidos para la venta  </t>
  </si>
  <si>
    <t xml:space="preserve">Total activo corriente </t>
  </si>
  <si>
    <t>Inversiones en asociadas y negocios conjuntos </t>
  </si>
  <si>
    <t>Otros activos financieros </t>
  </si>
  <si>
    <t>Otros activos intangibles, neto </t>
  </si>
  <si>
    <t>Activos por derecho de uso en arrendamiento </t>
  </si>
  <si>
    <t>Activos biológicos </t>
  </si>
  <si>
    <t>Propiedad, planta y equipo, neto </t>
  </si>
  <si>
    <t>Propiedades de inversión </t>
  </si>
  <si>
    <t>Crédito mercantil, neto </t>
  </si>
  <si>
    <t>Activo por impuesto diferido </t>
  </si>
  <si>
    <t>Otros activos no corrientes </t>
  </si>
  <si>
    <t xml:space="preserve">Total activo no corriente </t>
  </si>
  <si>
    <r>
      <t>Operaciones continuadas</t>
    </r>
    <r>
      <rPr>
        <sz val="10"/>
        <rFont val="Trebuchet MS"/>
        <family val="2"/>
      </rPr>
      <t> </t>
    </r>
  </si>
  <si>
    <t>Ingresos operacionales  </t>
  </si>
  <si>
    <r>
      <t>US$ dólares (millones)</t>
    </r>
    <r>
      <rPr>
        <sz val="10"/>
        <rFont val="Trebuchet MS"/>
        <family val="2"/>
      </rPr>
      <t> </t>
    </r>
  </si>
  <si>
    <t>Costo de la mercancía vendida </t>
  </si>
  <si>
    <t>   Costo de ventas </t>
  </si>
  <si>
    <t>   Depreciaciones y amortizaciones </t>
  </si>
  <si>
    <r>
      <t>Utilidad bruta</t>
    </r>
    <r>
      <rPr>
        <sz val="10"/>
        <rFont val="Trebuchet MS"/>
        <family val="2"/>
      </rPr>
      <t> </t>
    </r>
  </si>
  <si>
    <t>Gastos de administración </t>
  </si>
  <si>
    <t>Gastos de venta </t>
  </si>
  <si>
    <t>Depreciaciones y amortizaciones </t>
  </si>
  <si>
    <t>Deterioro de valor de crédito mercantil y activos</t>
  </si>
  <si>
    <t>Otros ingresos operacionales, netos </t>
  </si>
  <si>
    <r>
      <t>Utilidad operativa</t>
    </r>
    <r>
      <rPr>
        <sz val="10"/>
        <rFont val="Trebuchet MS"/>
        <family val="2"/>
      </rPr>
      <t> </t>
    </r>
  </si>
  <si>
    <r>
      <t xml:space="preserve">  </t>
    </r>
    <r>
      <rPr>
        <i/>
        <sz val="10"/>
        <rFont val="Trebuchet MS"/>
        <family val="2"/>
      </rPr>
      <t>EBITDA </t>
    </r>
    <r>
      <rPr>
        <sz val="10"/>
        <rFont val="Trebuchet MS"/>
        <family val="2"/>
      </rPr>
      <t> </t>
    </r>
  </si>
  <si>
    <r>
      <t>  US$ dólares (millones)</t>
    </r>
    <r>
      <rPr>
        <sz val="10"/>
        <rFont val="Trebuchet MS"/>
        <family val="2"/>
      </rPr>
      <t> </t>
    </r>
  </si>
  <si>
    <r>
      <t>  EBITDA Ajustado</t>
    </r>
    <r>
      <rPr>
        <sz val="10"/>
        <rFont val="Trebuchet MS"/>
        <family val="2"/>
      </rPr>
      <t> </t>
    </r>
  </si>
  <si>
    <t>Gastos financieros, netos </t>
  </si>
  <si>
    <t>Participación neta en el resultado de participadas </t>
  </si>
  <si>
    <r>
      <t>Utilidad antes de impuesto sobre la renta</t>
    </r>
    <r>
      <rPr>
        <sz val="10"/>
        <rFont val="Trebuchet MS"/>
        <family val="2"/>
      </rPr>
      <t> </t>
    </r>
  </si>
  <si>
    <t>Impuesto sobre la renta </t>
  </si>
  <si>
    <r>
      <t>Utilidad neta del ejercicio</t>
    </r>
    <r>
      <rPr>
        <sz val="10"/>
        <rFont val="Trebuchet MS"/>
        <family val="2"/>
      </rPr>
      <t> </t>
    </r>
  </si>
  <si>
    <r>
      <t>Resultado del periodo atribuible a: </t>
    </r>
    <r>
      <rPr>
        <sz val="10"/>
        <rFont val="Trebuchet MS"/>
        <family val="2"/>
      </rPr>
      <t> </t>
    </r>
  </si>
  <si>
    <t>Participaciones controladoras </t>
  </si>
  <si>
    <t>Participaciones no controladoras </t>
  </si>
  <si>
    <t>Utilidad neta ajustada </t>
  </si>
  <si>
    <t>Consolidado en miles de millones</t>
  </si>
  <si>
    <t>Utilidad Neta Contable</t>
  </si>
  <si>
    <t>(+) Otros impuestos contables (no caja)</t>
  </si>
  <si>
    <t>(-) Ganancia en venta desinversiones</t>
  </si>
  <si>
    <t>(=) Utilidad Neta de Operaciones continuadas</t>
  </si>
  <si>
    <t>(+) Impuestos de operaciones continuadas</t>
  </si>
  <si>
    <t>(+) Gastos Financieros Netos</t>
  </si>
  <si>
    <t xml:space="preserve">(=) Ebitda Operativo </t>
  </si>
  <si>
    <t>(-) ∆ Capital de Trabajo</t>
  </si>
  <si>
    <t>(-)  CapEx de mantenimiento</t>
  </si>
  <si>
    <t>(-) Impuestos de Operaciones Continuadas</t>
  </si>
  <si>
    <t>(=) Flujo de caja Libre de la Operación</t>
  </si>
  <si>
    <t>(-) Intereses pagados netos</t>
  </si>
  <si>
    <t>(=) Utilidad Neta Económica</t>
  </si>
  <si>
    <t>(=) Flujo de caja disponible para reinversión y dividendos</t>
  </si>
  <si>
    <t>(-) CapEx de Crecimiento</t>
  </si>
  <si>
    <t>(=) Flujo de caja neto</t>
  </si>
  <si>
    <t>(+) Caja inicial</t>
  </si>
  <si>
    <t>(=) Caja final</t>
  </si>
  <si>
    <t>Indicador</t>
  </si>
  <si>
    <t>Unidad</t>
  </si>
  <si>
    <t>Volumen de Cemento</t>
  </si>
  <si>
    <t>Miles de Toneladas Métricas</t>
  </si>
  <si>
    <t>Volumen de Concreto Ajustado*</t>
  </si>
  <si>
    <t>Miles de Metros Cúbicos</t>
  </si>
  <si>
    <t>Ingresos Ajustados*</t>
  </si>
  <si>
    <t>EBITDA Ajustado*</t>
  </si>
  <si>
    <t>Margen EBITDA Ajustado*</t>
  </si>
  <si>
    <t>Utilidad Neta Ajustada*</t>
  </si>
  <si>
    <t>Margen Neto Ajustado*</t>
  </si>
  <si>
    <t>Millones de dólares</t>
  </si>
  <si>
    <t>Mercado Local</t>
  </si>
  <si>
    <t>Exportaciones</t>
  </si>
  <si>
    <t>Volumen de Concreto</t>
  </si>
  <si>
    <t>Volumen de Agregados</t>
  </si>
  <si>
    <t>Ingresos</t>
  </si>
  <si>
    <t>Margen EBITDA</t>
  </si>
  <si>
    <t>Centroamérica</t>
  </si>
  <si>
    <t>Caribe</t>
  </si>
  <si>
    <t>Margen EBITDA Centroamérica</t>
  </si>
  <si>
    <t>Margen EBITDA Caribe</t>
  </si>
  <si>
    <t>Tasa de Cambio Cierre</t>
  </si>
  <si>
    <t>Tasa de Cambio Promedio**</t>
  </si>
  <si>
    <t xml:space="preserve">Cifras Ajustadas por región </t>
  </si>
  <si>
    <t>Precios</t>
  </si>
  <si>
    <t>Cemento</t>
  </si>
  <si>
    <t>Concreto</t>
  </si>
  <si>
    <t>Flujo de Caja</t>
  </si>
  <si>
    <t>Estado de Resultados</t>
  </si>
  <si>
    <t>Balance General</t>
  </si>
  <si>
    <t>4Q24</t>
  </si>
  <si>
    <t>1Q25</t>
  </si>
  <si>
    <t>Acumulado</t>
  </si>
  <si>
    <t>Aumulado</t>
  </si>
  <si>
    <t>Obligaciones financieras</t>
  </si>
  <si>
    <t>Pasivos por arrendamientos</t>
  </si>
  <si>
    <t>Pasivos comerciales y cuentas por pagar</t>
  </si>
  <si>
    <t>Pasivos por impuestos</t>
  </si>
  <si>
    <t>Pasivo por beneficios a empleados</t>
  </si>
  <si>
    <t>Provisiones</t>
  </si>
  <si>
    <t>Otros pasivos financieros</t>
  </si>
  <si>
    <t>Instrumentos financieros derivados</t>
  </si>
  <si>
    <t>Bonos en circulación y acciones preferenciales</t>
  </si>
  <si>
    <t>Otros pasivos no financieros</t>
  </si>
  <si>
    <t>Pasivos por arrendamiento</t>
  </si>
  <si>
    <t>Pasivo por impuesto diferido</t>
  </si>
  <si>
    <t>TOTAL PASIVOS</t>
  </si>
  <si>
    <t>Total Pasivo Corriente</t>
  </si>
  <si>
    <t>Total Pasivo No corriente</t>
  </si>
  <si>
    <t>Participaciones no controladoras</t>
  </si>
  <si>
    <t>Total patrimonio atribuible a las participaciones controladoras</t>
  </si>
  <si>
    <t>PATRIMONIO</t>
  </si>
  <si>
    <t>PASIVOS</t>
  </si>
  <si>
    <t>TOTAL ACTIVO</t>
  </si>
  <si>
    <t>TOTAL PASIVOS Y PATRIMONIO</t>
  </si>
  <si>
    <r>
      <rPr>
        <vertAlign val="superscript"/>
        <sz val="10"/>
        <color theme="1"/>
        <rFont val="Trebuchet MS"/>
        <family val="2"/>
      </rPr>
      <t xml:space="preserve">(1) </t>
    </r>
    <r>
      <rPr>
        <sz val="10"/>
        <color theme="1"/>
        <rFont val="Trebuchet MS"/>
        <family val="2"/>
      </rPr>
      <t>CDT con varias entidades financieras y con plazos menores a un año.</t>
    </r>
  </si>
  <si>
    <t>Ganancia (pérdida) por diferencia en cambio, neta</t>
  </si>
  <si>
    <t>(+) Otros ajustes no recurrentes</t>
  </si>
  <si>
    <t xml:space="preserve">(+) Ingresos / Gastos de M&amp;A &amp; IPO </t>
  </si>
  <si>
    <t>Año Completo</t>
  </si>
  <si>
    <t>Trimestral</t>
  </si>
  <si>
    <t>2Q25</t>
  </si>
  <si>
    <t xml:space="preserve">(=) Ebit </t>
  </si>
  <si>
    <t>3Q25</t>
  </si>
  <si>
    <t>4Q25</t>
  </si>
  <si>
    <t>Año completo</t>
  </si>
  <si>
    <t>(-) Efecto TRM y otros no operacionales</t>
  </si>
  <si>
    <t>(-) Dividendos &amp; Recompras</t>
  </si>
  <si>
    <t>Utilidad neta de operaciones discontinuadas</t>
  </si>
  <si>
    <t>(+) Desembolsos y pago de deuda</t>
  </si>
  <si>
    <t>1Q26</t>
  </si>
  <si>
    <t>3Q26</t>
  </si>
  <si>
    <t>4Q26</t>
  </si>
  <si>
    <t>2Q26</t>
  </si>
  <si>
    <t>**La tasa de cambio promedio de cada trimestre corresponde a un cálculo acumulado del año.</t>
  </si>
  <si>
    <t>Cementos Argos Consolidado</t>
  </si>
  <si>
    <t>Región US</t>
  </si>
  <si>
    <t>Región Colombia</t>
  </si>
  <si>
    <t>Región CCA</t>
  </si>
  <si>
    <t>*No incluye ventas a compañías relacionadas</t>
  </si>
  <si>
    <t>** El negocio de trading para 2024 incluye volúmenes gestionados para terceros que no están necesariamente registrados en nuestros libros</t>
  </si>
  <si>
    <t xml:space="preserve">Variaciones actuales interanuales de los precios promedio FOB por tonelada de cemento / metro cúbico de concreto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</si>
</sst>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 #,##0.00_-;\-&quot;$&quot;\ * #,##0.00_-;_-&quot;$&quot;\ * &quot;-&quot;??_-;_-@_-"/>
    <numFmt numFmtId="43" formatCode="_-* #,##0.00_-;\-* #,##0.00_-;_-* &quot;-&quot;??_-;_-@_-"/>
    <numFmt numFmtId="164" formatCode="_-* #,##0_-;\-* #,##0_-;_-* &quot;-&quot;??_-;_-@_-"/>
    <numFmt numFmtId="165" formatCode="_-&quot;$&quot;\ * #,##0_-;\-&quot;$&quot;\ * #,##0_-;_-&quot;$&quot;\ * &quot;-&quot;??_-;_-@_-"/>
    <numFmt numFmtId="166" formatCode="0.0%"/>
    <numFmt numFmtId="167" formatCode="_-* #,##0.0_-;\-* #,##0.0_-;_-* &quot;-&quot;??_-;_-@_-"/>
  </numFmts>
  <fonts count="18" x14ac:knownFonts="1">
    <font>
      <sz val="11"/>
      <color theme="1"/>
      <name val="Calibri"/>
      <family val="2"/>
      <scheme val="minor"/>
    </font>
    <font>
      <sz val="11"/>
      <color theme="1"/>
      <name val="Calibri"/>
      <family val="2"/>
      <scheme val="minor"/>
    </font>
    <font>
      <sz val="10"/>
      <color theme="1"/>
      <name val="Trebuchet MS"/>
      <family val="2"/>
    </font>
    <font>
      <i/>
      <sz val="10"/>
      <color theme="1"/>
      <name val="Trebuchet MS"/>
      <family val="2"/>
    </font>
    <font>
      <b/>
      <sz val="10"/>
      <color theme="1"/>
      <name val="Trebuchet MS"/>
      <family val="2"/>
    </font>
    <font>
      <b/>
      <sz val="10"/>
      <name val="Trebuchet MS"/>
      <family val="2"/>
    </font>
    <font>
      <sz val="10"/>
      <name val="Trebuchet MS"/>
      <family val="2"/>
    </font>
    <font>
      <i/>
      <sz val="10"/>
      <name val="Trebuchet MS"/>
      <family val="2"/>
    </font>
    <font>
      <sz val="10"/>
      <color rgb="FFFF0000"/>
      <name val="Trebuchet MS"/>
      <family val="2"/>
    </font>
    <font>
      <b/>
      <sz val="16"/>
      <color theme="1"/>
      <name val="Trebuchet MS"/>
      <family val="2"/>
    </font>
    <font>
      <vertAlign val="superscript"/>
      <sz val="10"/>
      <color theme="1"/>
      <name val="Trebuchet MS"/>
      <family val="2"/>
    </font>
    <font>
      <sz val="8"/>
      <color theme="1"/>
      <name val="Trebuchet MS"/>
      <family val="2"/>
    </font>
    <font>
      <b/>
      <i/>
      <sz val="10"/>
      <color theme="1"/>
      <name val="Trebuchet MS"/>
      <family val="2"/>
    </font>
    <font>
      <sz val="9"/>
      <color indexed="81"/>
      <name val="Tahoma"/>
      <family val="2"/>
    </font>
    <font>
      <b/>
      <sz val="9"/>
      <color indexed="81"/>
      <name val="Tahoma"/>
      <family val="2"/>
    </font>
    <font>
      <vertAlign val="superscript"/>
      <sz val="10"/>
      <color rgb="FF58595B"/>
      <name val="Trebuchet MS"/>
      <family val="2"/>
    </font>
    <font>
      <sz val="10"/>
      <color rgb="FF58595B"/>
      <name val="Trebuchet MS"/>
      <family val="2"/>
    </font>
    <font>
      <sz val="8"/>
      <name val="Calibri"/>
      <family val="2"/>
      <scheme val="minor"/>
    </font>
  </fonts>
  <fills count="8">
    <fill>
      <patternFill patternType="none"/>
    </fill>
    <fill>
      <patternFill patternType="gray125"/>
    </fill>
    <fill>
      <patternFill patternType="solid">
        <fgColor rgb="FFFFFFFF"/>
        <bgColor indexed="64"/>
      </patternFill>
    </fill>
    <fill>
      <patternFill patternType="solid">
        <fgColor rgb="FFC4D600"/>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3" tint="0.79998168889431442"/>
        <bgColor indexed="64"/>
      </patternFill>
    </fill>
    <fill>
      <patternFill patternType="solid">
        <fgColor theme="4" tint="0.59999389629810485"/>
        <bgColor indexed="64"/>
      </patternFill>
    </fill>
  </fills>
  <borders count="4">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96">
    <xf numFmtId="0" fontId="0" fillId="0" borderId="0" xfId="0"/>
    <xf numFmtId="0" fontId="2" fillId="0" borderId="0" xfId="0" applyFont="1"/>
    <xf numFmtId="0" fontId="2" fillId="0" borderId="0" xfId="0" applyFont="1" applyAlignment="1">
      <alignment horizontal="left"/>
    </xf>
    <xf numFmtId="0" fontId="3" fillId="0" borderId="0" xfId="0" applyFont="1"/>
    <xf numFmtId="0" fontId="2" fillId="0" borderId="0" xfId="0" applyFont="1" applyAlignment="1">
      <alignment horizontal="center"/>
    </xf>
    <xf numFmtId="0" fontId="4" fillId="0" borderId="0" xfId="0" applyFont="1" applyAlignment="1">
      <alignment horizontal="center"/>
    </xf>
    <xf numFmtId="0" fontId="4" fillId="0" borderId="0" xfId="0" applyFont="1"/>
    <xf numFmtId="0" fontId="5" fillId="0" borderId="0" xfId="0" applyFont="1"/>
    <xf numFmtId="0" fontId="2" fillId="0" borderId="0" xfId="0" applyFont="1" applyAlignment="1">
      <alignment horizontal="left" indent="2"/>
    </xf>
    <xf numFmtId="0" fontId="2" fillId="0" borderId="0" xfId="0" applyFont="1" applyAlignment="1">
      <alignment horizontal="left" indent="1"/>
    </xf>
    <xf numFmtId="0" fontId="4" fillId="0" borderId="0" xfId="0" applyFont="1" applyAlignment="1">
      <alignment horizontal="left" indent="1"/>
    </xf>
    <xf numFmtId="0" fontId="4" fillId="0" borderId="0" xfId="0" applyFont="1" applyAlignment="1">
      <alignment horizontal="left"/>
    </xf>
    <xf numFmtId="0" fontId="6" fillId="0" borderId="0" xfId="0" applyFont="1"/>
    <xf numFmtId="164" fontId="6" fillId="0" borderId="0" xfId="1" applyNumberFormat="1" applyFont="1" applyBorder="1" applyAlignment="1">
      <alignment horizontal="right" vertical="center" wrapText="1"/>
    </xf>
    <xf numFmtId="164" fontId="5" fillId="2" borderId="0" xfId="1" applyNumberFormat="1" applyFont="1" applyFill="1" applyBorder="1" applyAlignment="1">
      <alignment horizontal="right" vertical="center" wrapText="1"/>
    </xf>
    <xf numFmtId="164" fontId="7" fillId="2" borderId="0" xfId="1" applyNumberFormat="1" applyFont="1" applyFill="1" applyBorder="1" applyAlignment="1">
      <alignment horizontal="right" vertical="center" wrapText="1"/>
    </xf>
    <xf numFmtId="164" fontId="6" fillId="0" borderId="0" xfId="1" applyNumberFormat="1" applyFont="1" applyBorder="1"/>
    <xf numFmtId="164" fontId="6" fillId="2" borderId="0" xfId="1" applyNumberFormat="1" applyFont="1" applyFill="1" applyBorder="1" applyAlignment="1">
      <alignment horizontal="right" vertical="center" wrapText="1"/>
    </xf>
    <xf numFmtId="164" fontId="2" fillId="0" borderId="0" xfId="1" applyNumberFormat="1" applyFont="1"/>
    <xf numFmtId="164" fontId="7" fillId="0" borderId="0" xfId="1" applyNumberFormat="1" applyFont="1" applyBorder="1" applyAlignment="1">
      <alignment horizontal="right" vertical="center" wrapText="1"/>
    </xf>
    <xf numFmtId="0" fontId="5" fillId="2" borderId="0" xfId="0" applyFont="1" applyFill="1" applyAlignment="1">
      <alignment horizontal="left" vertical="center" wrapText="1"/>
    </xf>
    <xf numFmtId="0" fontId="6" fillId="2" borderId="0" xfId="0" applyFont="1" applyFill="1" applyAlignment="1">
      <alignment horizontal="left" vertical="center" wrapText="1"/>
    </xf>
    <xf numFmtId="0" fontId="7" fillId="2" borderId="0" xfId="0" applyFont="1" applyFill="1" applyAlignment="1">
      <alignment horizontal="left" vertical="center" wrapText="1"/>
    </xf>
    <xf numFmtId="37" fontId="2" fillId="0" borderId="0" xfId="0" applyNumberFormat="1" applyFont="1"/>
    <xf numFmtId="37" fontId="2" fillId="0" borderId="0" xfId="0" applyNumberFormat="1" applyFont="1" applyAlignment="1">
      <alignment horizontal="center"/>
    </xf>
    <xf numFmtId="37" fontId="6" fillId="2" borderId="0" xfId="1" applyNumberFormat="1" applyFont="1" applyFill="1" applyBorder="1" applyAlignment="1">
      <alignment horizontal="right" vertical="center" wrapText="1"/>
    </xf>
    <xf numFmtId="37" fontId="5" fillId="2" borderId="0" xfId="1" applyNumberFormat="1" applyFont="1" applyFill="1" applyBorder="1" applyAlignment="1">
      <alignment horizontal="right" vertical="center" wrapText="1"/>
    </xf>
    <xf numFmtId="37" fontId="7" fillId="2" borderId="0" xfId="1" applyNumberFormat="1" applyFont="1" applyFill="1" applyBorder="1" applyAlignment="1">
      <alignment horizontal="right" vertical="center" wrapText="1"/>
    </xf>
    <xf numFmtId="0" fontId="8" fillId="0" borderId="0" xfId="0" applyFont="1"/>
    <xf numFmtId="0" fontId="5" fillId="0" borderId="0" xfId="0" applyFont="1" applyAlignment="1">
      <alignment horizontal="center"/>
    </xf>
    <xf numFmtId="37" fontId="4" fillId="0" borderId="0" xfId="0" applyNumberFormat="1" applyFont="1" applyAlignment="1">
      <alignment horizontal="center"/>
    </xf>
    <xf numFmtId="164" fontId="4" fillId="0" borderId="0" xfId="1" applyNumberFormat="1" applyFont="1"/>
    <xf numFmtId="43" fontId="4" fillId="0" borderId="0" xfId="1" applyFont="1"/>
    <xf numFmtId="164" fontId="4" fillId="0" borderId="0" xfId="1" applyNumberFormat="1" applyFont="1" applyAlignment="1">
      <alignment horizontal="center"/>
    </xf>
    <xf numFmtId="165" fontId="2" fillId="0" borderId="0" xfId="2" applyNumberFormat="1" applyFont="1"/>
    <xf numFmtId="166" fontId="2" fillId="0" borderId="0" xfId="3" applyNumberFormat="1" applyFont="1"/>
    <xf numFmtId="165" fontId="2" fillId="0" borderId="0" xfId="0" applyNumberFormat="1" applyFont="1"/>
    <xf numFmtId="166" fontId="4" fillId="0" borderId="0" xfId="3" applyNumberFormat="1" applyFont="1"/>
    <xf numFmtId="1" fontId="2" fillId="0" borderId="0" xfId="0" applyNumberFormat="1" applyFont="1"/>
    <xf numFmtId="165" fontId="4" fillId="0" borderId="0" xfId="2" applyNumberFormat="1" applyFont="1"/>
    <xf numFmtId="1" fontId="4" fillId="0" borderId="0" xfId="0" applyNumberFormat="1" applyFont="1"/>
    <xf numFmtId="44" fontId="2" fillId="0" borderId="0" xfId="2" applyFont="1"/>
    <xf numFmtId="10" fontId="2" fillId="0" borderId="0" xfId="0" applyNumberFormat="1" applyFont="1"/>
    <xf numFmtId="166" fontId="2" fillId="0" borderId="0" xfId="0" applyNumberFormat="1" applyFont="1"/>
    <xf numFmtId="37" fontId="6" fillId="0" borderId="0" xfId="1" applyNumberFormat="1" applyFont="1" applyFill="1" applyBorder="1" applyAlignment="1">
      <alignment horizontal="right" vertical="center" wrapText="1"/>
    </xf>
    <xf numFmtId="37" fontId="5" fillId="0" borderId="0" xfId="1" applyNumberFormat="1" applyFont="1" applyFill="1" applyBorder="1" applyAlignment="1">
      <alignment horizontal="right" vertical="center" wrapText="1"/>
    </xf>
    <xf numFmtId="164" fontId="2" fillId="0" borderId="0" xfId="1" applyNumberFormat="1" applyFont="1" applyFill="1"/>
    <xf numFmtId="165" fontId="2" fillId="0" borderId="0" xfId="2" applyNumberFormat="1" applyFont="1" applyFill="1"/>
    <xf numFmtId="166" fontId="2" fillId="0" borderId="0" xfId="3" applyNumberFormat="1" applyFont="1" applyFill="1"/>
    <xf numFmtId="0" fontId="2" fillId="3" borderId="0" xfId="0" applyFont="1" applyFill="1"/>
    <xf numFmtId="37" fontId="2" fillId="3" borderId="0" xfId="0" applyNumberFormat="1" applyFont="1" applyFill="1"/>
    <xf numFmtId="0" fontId="2" fillId="4" borderId="0" xfId="0" applyFont="1" applyFill="1"/>
    <xf numFmtId="0" fontId="4" fillId="4" borderId="0" xfId="0" applyFont="1" applyFill="1"/>
    <xf numFmtId="0" fontId="11" fillId="0" borderId="0" xfId="0" applyFont="1"/>
    <xf numFmtId="37" fontId="4" fillId="6" borderId="0" xfId="0" applyNumberFormat="1" applyFont="1" applyFill="1" applyAlignment="1">
      <alignment horizontal="center"/>
    </xf>
    <xf numFmtId="164" fontId="2" fillId="6" borderId="0" xfId="1" applyNumberFormat="1" applyFont="1" applyFill="1"/>
    <xf numFmtId="165" fontId="2" fillId="6" borderId="0" xfId="2" applyNumberFormat="1" applyFont="1" applyFill="1"/>
    <xf numFmtId="166" fontId="2" fillId="6" borderId="0" xfId="3" applyNumberFormat="1" applyFont="1" applyFill="1"/>
    <xf numFmtId="164" fontId="4" fillId="0" borderId="0" xfId="0" applyNumberFormat="1" applyFont="1"/>
    <xf numFmtId="164" fontId="2" fillId="3" borderId="0" xfId="1" applyNumberFormat="1" applyFont="1" applyFill="1" applyAlignment="1">
      <alignment horizontal="center"/>
    </xf>
    <xf numFmtId="0" fontId="2" fillId="3" borderId="0" xfId="0" applyFont="1" applyFill="1" applyAlignment="1">
      <alignment horizontal="center"/>
    </xf>
    <xf numFmtId="0" fontId="3" fillId="3" borderId="0" xfId="0" applyFont="1" applyFill="1" applyAlignment="1">
      <alignment horizontal="center"/>
    </xf>
    <xf numFmtId="0" fontId="3" fillId="0" borderId="0" xfId="0" applyFont="1" applyAlignment="1">
      <alignment horizontal="center"/>
    </xf>
    <xf numFmtId="164" fontId="2" fillId="0" borderId="0" xfId="1" applyNumberFormat="1" applyFont="1" applyAlignment="1">
      <alignment horizontal="center"/>
    </xf>
    <xf numFmtId="37" fontId="5" fillId="2" borderId="0" xfId="1" applyNumberFormat="1" applyFont="1" applyFill="1" applyBorder="1" applyAlignment="1">
      <alignment horizontal="center" vertical="center" wrapText="1"/>
    </xf>
    <xf numFmtId="37" fontId="6" fillId="2" borderId="0" xfId="1" applyNumberFormat="1" applyFont="1" applyFill="1" applyBorder="1" applyAlignment="1">
      <alignment horizontal="center" vertical="center" wrapText="1"/>
    </xf>
    <xf numFmtId="164" fontId="2" fillId="0" borderId="0" xfId="0" applyNumberFormat="1" applyFont="1"/>
    <xf numFmtId="10" fontId="2" fillId="0" borderId="0" xfId="3" applyNumberFormat="1" applyFont="1"/>
    <xf numFmtId="167" fontId="2" fillId="0" borderId="0" xfId="0" applyNumberFormat="1" applyFont="1"/>
    <xf numFmtId="1" fontId="4" fillId="0" borderId="0" xfId="1" applyNumberFormat="1" applyFont="1" applyAlignment="1">
      <alignment horizontal="center"/>
    </xf>
    <xf numFmtId="10" fontId="2" fillId="0" borderId="0" xfId="3" applyNumberFormat="1" applyFont="1" applyAlignment="1">
      <alignment horizontal="center"/>
    </xf>
    <xf numFmtId="37" fontId="4" fillId="0" borderId="0" xfId="0" applyNumberFormat="1" applyFont="1"/>
    <xf numFmtId="43" fontId="2" fillId="0" borderId="0" xfId="1" applyFont="1"/>
    <xf numFmtId="9" fontId="2" fillId="0" borderId="0" xfId="3" applyFont="1"/>
    <xf numFmtId="9" fontId="2" fillId="0" borderId="0" xfId="3" applyFont="1" applyAlignment="1">
      <alignment horizontal="center"/>
    </xf>
    <xf numFmtId="2" fontId="2" fillId="0" borderId="0" xfId="0" applyNumberFormat="1" applyFont="1"/>
    <xf numFmtId="0" fontId="4" fillId="0" borderId="0" xfId="0" applyFont="1" applyAlignment="1">
      <alignment horizontal="center" vertical="center"/>
    </xf>
    <xf numFmtId="1" fontId="4" fillId="0" borderId="0" xfId="1" applyNumberFormat="1" applyFont="1" applyFill="1" applyAlignment="1">
      <alignment horizontal="center"/>
    </xf>
    <xf numFmtId="164" fontId="6" fillId="0" borderId="0" xfId="1" applyNumberFormat="1" applyFont="1" applyFill="1" applyBorder="1" applyAlignment="1">
      <alignment horizontal="right" vertical="center" wrapText="1"/>
    </xf>
    <xf numFmtId="9" fontId="2" fillId="0" borderId="0" xfId="0" applyNumberFormat="1" applyFont="1"/>
    <xf numFmtId="0" fontId="4" fillId="0" borderId="0" xfId="0" applyFont="1" applyAlignment="1">
      <alignment horizontal="right"/>
    </xf>
    <xf numFmtId="166" fontId="2" fillId="0" borderId="0" xfId="3" applyNumberFormat="1" applyFont="1" applyAlignment="1">
      <alignment horizontal="right"/>
    </xf>
    <xf numFmtId="164" fontId="4" fillId="0" borderId="0" xfId="0" applyNumberFormat="1" applyFont="1" applyAlignment="1">
      <alignment horizontal="right"/>
    </xf>
    <xf numFmtId="0" fontId="9" fillId="3" borderId="0" xfId="0" applyFont="1" applyFill="1" applyAlignment="1">
      <alignment horizontal="center" vertical="center" wrapText="1"/>
    </xf>
    <xf numFmtId="0" fontId="9" fillId="3" borderId="0" xfId="0" applyFont="1" applyFill="1" applyAlignment="1">
      <alignment horizontal="center" vertical="center"/>
    </xf>
    <xf numFmtId="0" fontId="4" fillId="0" borderId="0" xfId="0" applyFont="1" applyAlignment="1">
      <alignment horizontal="center"/>
    </xf>
    <xf numFmtId="0" fontId="12" fillId="5" borderId="0" xfId="0" applyFont="1" applyFill="1" applyAlignment="1">
      <alignment horizontal="center"/>
    </xf>
    <xf numFmtId="0" fontId="4" fillId="5" borderId="0" xfId="0" applyFont="1" applyFill="1" applyAlignment="1">
      <alignment horizontal="center" vertical="center"/>
    </xf>
    <xf numFmtId="0" fontId="4" fillId="7" borderId="3" xfId="0" applyFont="1" applyFill="1" applyBorder="1" applyAlignment="1">
      <alignment horizontal="center" vertical="center"/>
    </xf>
    <xf numFmtId="0" fontId="4" fillId="5" borderId="1" xfId="0" applyFont="1" applyFill="1" applyBorder="1" applyAlignment="1">
      <alignment horizontal="center" vertical="center"/>
    </xf>
    <xf numFmtId="0" fontId="4" fillId="7" borderId="2" xfId="0" applyFont="1" applyFill="1" applyBorder="1" applyAlignment="1">
      <alignment horizontal="center" vertical="center"/>
    </xf>
    <xf numFmtId="0" fontId="4" fillId="7" borderId="0" xfId="0" applyFont="1" applyFill="1" applyAlignment="1">
      <alignment horizontal="center" vertical="center"/>
    </xf>
    <xf numFmtId="0" fontId="4" fillId="7" borderId="1" xfId="0" applyFont="1" applyFill="1" applyBorder="1" applyAlignment="1">
      <alignment horizontal="center" vertical="center"/>
    </xf>
    <xf numFmtId="0" fontId="4" fillId="0" borderId="0" xfId="0" applyFont="1" applyAlignment="1">
      <alignment horizontal="center" vertical="center"/>
    </xf>
    <xf numFmtId="0" fontId="4" fillId="0" borderId="0" xfId="0" applyFont="1" applyAlignment="1">
      <alignment horizontal="left"/>
    </xf>
    <xf numFmtId="0" fontId="4" fillId="4" borderId="0" xfId="0" applyFont="1" applyFill="1" applyAlignment="1">
      <alignment horizontal="left"/>
    </xf>
  </cellXfs>
  <cellStyles count="4">
    <cellStyle name="Millares" xfId="1" builtinId="3"/>
    <cellStyle name="Moneda" xfId="2" builtinId="4"/>
    <cellStyle name="Normal" xfId="0" builtinId="0"/>
    <cellStyle name="Porcentaje" xfId="3" builtinId="5"/>
  </cellStyles>
  <dxfs count="0"/>
  <tableStyles count="0" defaultTableStyle="TableStyleMedium2" defaultPivotStyle="PivotStyleLight16"/>
  <colors>
    <mruColors>
      <color rgb="FFC4D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16</xdr:col>
      <xdr:colOff>122339</xdr:colOff>
      <xdr:row>5</xdr:row>
      <xdr:rowOff>19516</xdr:rowOff>
    </xdr:from>
    <xdr:to>
      <xdr:col>21</xdr:col>
      <xdr:colOff>757338</xdr:colOff>
      <xdr:row>10</xdr:row>
      <xdr:rowOff>59203</xdr:rowOff>
    </xdr:to>
    <xdr:sp macro="" textlink="">
      <xdr:nvSpPr>
        <xdr:cNvPr id="4" name="CuadroTexto 3">
          <a:extLst>
            <a:ext uri="{FF2B5EF4-FFF2-40B4-BE49-F238E27FC236}">
              <a16:creationId xmlns:a16="http://schemas.microsoft.com/office/drawing/2014/main" id="{93440B9C-B8C4-4217-A4C7-568E65E524E0}"/>
            </a:ext>
          </a:extLst>
        </xdr:cNvPr>
        <xdr:cNvSpPr txBox="1"/>
      </xdr:nvSpPr>
      <xdr:spPr>
        <a:xfrm>
          <a:off x="17494541" y="864241"/>
          <a:ext cx="4450825" cy="9135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100" i="1">
              <a:solidFill>
                <a:schemeClr val="dk1"/>
              </a:solidFill>
              <a:effectLst/>
              <a:latin typeface="+mn-lt"/>
              <a:ea typeface="+mn-ea"/>
              <a:cs typeface="+mn-cs"/>
            </a:rPr>
            <a:t>*El 12 de enero de 2024 se cerró la transacción en la cual los activos de Argos en Estados Unidos se combinaron con Summit. En consecuencia, las operaciones de Argos en EE. UU. ya no se consolidarán en nuestros estados financieros a partir del primer trimestre de 2024.*</a:t>
          </a:r>
          <a:endParaRPr lang="es-CO">
            <a:effectLst/>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21</xdr:col>
      <xdr:colOff>603250</xdr:colOff>
      <xdr:row>7</xdr:row>
      <xdr:rowOff>71438</xdr:rowOff>
    </xdr:from>
    <xdr:to>
      <xdr:col>27</xdr:col>
      <xdr:colOff>476250</xdr:colOff>
      <xdr:row>12</xdr:row>
      <xdr:rowOff>134938</xdr:rowOff>
    </xdr:to>
    <xdr:sp macro="" textlink="">
      <xdr:nvSpPr>
        <xdr:cNvPr id="4" name="CuadroTexto 3">
          <a:extLst>
            <a:ext uri="{FF2B5EF4-FFF2-40B4-BE49-F238E27FC236}">
              <a16:creationId xmlns:a16="http://schemas.microsoft.com/office/drawing/2014/main" id="{5268EBFF-B984-4098-99D9-483D96C34962}"/>
            </a:ext>
          </a:extLst>
        </xdr:cNvPr>
        <xdr:cNvSpPr txBox="1"/>
      </xdr:nvSpPr>
      <xdr:spPr>
        <a:xfrm>
          <a:off x="12025313" y="1293813"/>
          <a:ext cx="4445000" cy="936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100" i="1"/>
            <a:t>*El 12 de enero de 2024 se cerró la transacción en la cual los activos de Argos en Estados Unidos se combinaron con Summit. En consecuencia, las operaciones de Argos en EE. UU. ya no se consolidarán en nuestros estados financieros a partir del primer trimestre de 2024.*</a:t>
          </a:r>
          <a:endParaRPr lang="es-CO" sz="1100" i="1" baseline="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44452</xdr:colOff>
      <xdr:row>4</xdr:row>
      <xdr:rowOff>6350</xdr:rowOff>
    </xdr:from>
    <xdr:to>
      <xdr:col>15</xdr:col>
      <xdr:colOff>845345</xdr:colOff>
      <xdr:row>7</xdr:row>
      <xdr:rowOff>139701</xdr:rowOff>
    </xdr:to>
    <xdr:sp macro="" textlink="">
      <xdr:nvSpPr>
        <xdr:cNvPr id="2" name="CuadroTexto 1">
          <a:extLst>
            <a:ext uri="{FF2B5EF4-FFF2-40B4-BE49-F238E27FC236}">
              <a16:creationId xmlns:a16="http://schemas.microsoft.com/office/drawing/2014/main" id="{E53E4B78-AA99-73B5-4282-94EDF71B7A01}"/>
            </a:ext>
          </a:extLst>
        </xdr:cNvPr>
        <xdr:cNvSpPr txBox="1"/>
      </xdr:nvSpPr>
      <xdr:spPr>
        <a:xfrm>
          <a:off x="354015" y="673100"/>
          <a:ext cx="14790736" cy="63341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100" i="1"/>
            <a:t>Las transacciones de desinversión recientes en Estados Unidos y la combinación con Summit Materials en dicho país han generado operaciones no recurrentes que se excluyen de estas cifras para permitir la comparabilidad de los resultados. Los detalles de los ajustes realizados y la conciliación se encuentran en el anexo de la presentación de la última entrega de resultados, disponible en: [https://ir.argos.co/en/financial-information/quarterly-results/](https://ir.argos.co/en/financial-information/quarterly-results/).</a:t>
          </a:r>
        </a:p>
      </xdr:txBody>
    </xdr:sp>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4B84E87-87D1-4564-8665-12BF4D36024D}">
  <we:reference id="wa200009404" version="1.0.0.8" store="es-CO" storeType="OMEX"/>
  <we:alternateReferences>
    <we:reference id="WA200009404" version="1.0.0.8" store="" storeType="OMEX"/>
  </we:alternateReferences>
  <we:properties>
    <we:property name="claude.fileId" value="&quot;aaf2b090-50f7-4e04-a0b5-529f131b36e5&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customProperty" Target="../customProperty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2.bin"/><Relationship Id="rId4"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49D96-FEF5-438E-89E9-F52AC7B86942}">
  <dimension ref="A1:W69"/>
  <sheetViews>
    <sheetView showGridLines="0" tabSelected="1" zoomScale="118" zoomScaleNormal="80" workbookViewId="0">
      <pane xSplit="2" ySplit="5" topLeftCell="G6" activePane="bottomRight" state="frozen"/>
      <selection pane="topRight" activeCell="B1" sqref="B1"/>
      <selection pane="bottomLeft" activeCell="A6" sqref="A6"/>
      <selection pane="bottomRight" activeCell="P7" sqref="P7"/>
    </sheetView>
  </sheetViews>
  <sheetFormatPr baseColWidth="10" defaultRowHeight="13.5" x14ac:dyDescent="0.35"/>
  <cols>
    <col min="1" max="1" width="2.90625" style="1" customWidth="1"/>
    <col min="2" max="2" width="59.7265625" style="1" bestFit="1" customWidth="1"/>
    <col min="3" max="5" width="14.81640625" style="1" bestFit="1" customWidth="1"/>
    <col min="6" max="8" width="14.81640625" style="1" customWidth="1"/>
    <col min="9" max="9" width="12.08984375" style="1" bestFit="1" customWidth="1"/>
    <col min="10" max="10" width="11.90625" style="1" customWidth="1"/>
    <col min="11" max="11" width="12.08984375" style="1" bestFit="1" customWidth="1"/>
    <col min="12" max="13" width="13.26953125" style="1" bestFit="1" customWidth="1"/>
    <col min="14" max="14" width="12.54296875" style="1" customWidth="1"/>
    <col min="15" max="15" width="12.1796875" style="1" bestFit="1" customWidth="1"/>
    <col min="16" max="16" width="18" style="1" bestFit="1" customWidth="1"/>
    <col min="17" max="16384" width="10.90625" style="1"/>
  </cols>
  <sheetData>
    <row r="1" spans="1:17" s="49" customFormat="1" x14ac:dyDescent="0.35">
      <c r="B1" s="84" t="s">
        <v>116</v>
      </c>
    </row>
    <row r="2" spans="1:17" s="49" customFormat="1" x14ac:dyDescent="0.35">
      <c r="B2" s="84"/>
    </row>
    <row r="3" spans="1:17" s="49" customFormat="1" x14ac:dyDescent="0.35">
      <c r="B3" s="84"/>
    </row>
    <row r="4" spans="1:17" s="4" customFormat="1" x14ac:dyDescent="0.35"/>
    <row r="5" spans="1:17" x14ac:dyDescent="0.35">
      <c r="B5" s="1" t="s">
        <v>67</v>
      </c>
      <c r="C5" s="5">
        <v>2021</v>
      </c>
      <c r="D5" s="5">
        <v>2022</v>
      </c>
      <c r="E5" s="5">
        <v>2023</v>
      </c>
      <c r="F5" s="5" t="s">
        <v>17</v>
      </c>
      <c r="G5" s="5" t="s">
        <v>19</v>
      </c>
      <c r="H5" s="5" t="s">
        <v>20</v>
      </c>
      <c r="I5" s="5" t="s">
        <v>117</v>
      </c>
      <c r="J5" s="5" t="s">
        <v>118</v>
      </c>
      <c r="K5" s="5" t="s">
        <v>148</v>
      </c>
      <c r="L5" s="5" t="s">
        <v>150</v>
      </c>
      <c r="M5" s="5" t="s">
        <v>151</v>
      </c>
      <c r="N5" s="5" t="s">
        <v>157</v>
      </c>
      <c r="O5" s="5" t="s">
        <v>160</v>
      </c>
    </row>
    <row r="6" spans="1:17" s="6" customFormat="1" x14ac:dyDescent="0.35">
      <c r="B6" s="6" t="s">
        <v>21</v>
      </c>
      <c r="C6" s="7"/>
      <c r="D6" s="7"/>
      <c r="E6" s="7"/>
      <c r="F6" s="7"/>
      <c r="G6" s="7"/>
      <c r="H6" s="7"/>
      <c r="I6" s="7"/>
    </row>
    <row r="7" spans="1:17" x14ac:dyDescent="0.35">
      <c r="B7" s="8" t="s">
        <v>22</v>
      </c>
      <c r="C7" s="13">
        <v>483229</v>
      </c>
      <c r="D7" s="13">
        <v>790086</v>
      </c>
      <c r="E7" s="13">
        <v>1008527</v>
      </c>
      <c r="F7" s="13">
        <v>1991158</v>
      </c>
      <c r="G7" s="13">
        <v>2751620</v>
      </c>
      <c r="H7" s="13">
        <v>1970669</v>
      </c>
      <c r="I7" s="13">
        <v>1065075</v>
      </c>
      <c r="J7" s="13">
        <v>12318041</v>
      </c>
      <c r="K7" s="13">
        <v>11610838</v>
      </c>
      <c r="L7" s="13">
        <v>3481447</v>
      </c>
      <c r="M7" s="18">
        <v>3590459</v>
      </c>
      <c r="N7" s="18">
        <v>3478785</v>
      </c>
      <c r="O7" s="18">
        <v>7768164</v>
      </c>
      <c r="P7" s="18"/>
    </row>
    <row r="8" spans="1:17" x14ac:dyDescent="0.35">
      <c r="A8" s="8"/>
      <c r="B8" s="8" t="s">
        <v>24</v>
      </c>
      <c r="C8" s="13">
        <v>16263</v>
      </c>
      <c r="D8" s="13">
        <v>470805</v>
      </c>
      <c r="E8" s="13">
        <v>127</v>
      </c>
      <c r="F8" s="13">
        <v>673565</v>
      </c>
      <c r="G8" s="13">
        <v>117422</v>
      </c>
      <c r="H8" s="13">
        <v>45525</v>
      </c>
      <c r="I8" s="13">
        <v>1187</v>
      </c>
      <c r="J8" s="13">
        <v>8856</v>
      </c>
      <c r="K8" s="13">
        <v>20927</v>
      </c>
      <c r="L8" s="13">
        <v>78086</v>
      </c>
      <c r="M8" s="18">
        <v>65724</v>
      </c>
      <c r="N8" s="18">
        <v>137673</v>
      </c>
      <c r="O8" s="18">
        <v>78126</v>
      </c>
      <c r="P8" s="66"/>
    </row>
    <row r="9" spans="1:17" ht="15.5" x14ac:dyDescent="0.35">
      <c r="B9" s="8" t="s">
        <v>23</v>
      </c>
      <c r="C9" s="13">
        <v>160</v>
      </c>
      <c r="D9" s="13">
        <v>66715</v>
      </c>
      <c r="E9" s="13">
        <v>135390</v>
      </c>
      <c r="F9" s="13">
        <v>114527</v>
      </c>
      <c r="G9" s="13">
        <v>8582</v>
      </c>
      <c r="H9" s="13">
        <v>96733</v>
      </c>
      <c r="I9" s="13">
        <v>135</v>
      </c>
      <c r="J9" s="13">
        <v>26000</v>
      </c>
      <c r="K9" s="13">
        <v>17875</v>
      </c>
      <c r="L9" s="13">
        <v>7800921</v>
      </c>
      <c r="M9" s="18">
        <v>5656339</v>
      </c>
      <c r="N9" s="18">
        <v>5423179</v>
      </c>
      <c r="O9" s="18">
        <v>291866</v>
      </c>
    </row>
    <row r="10" spans="1:17" x14ac:dyDescent="0.35">
      <c r="B10" s="8" t="s">
        <v>25</v>
      </c>
      <c r="C10" s="13">
        <v>1130253</v>
      </c>
      <c r="D10" s="13">
        <v>1353453</v>
      </c>
      <c r="E10" s="13">
        <v>1184294</v>
      </c>
      <c r="F10" s="13">
        <v>595907</v>
      </c>
      <c r="G10" s="13">
        <v>618145</v>
      </c>
      <c r="H10" s="13">
        <v>566449</v>
      </c>
      <c r="I10" s="13">
        <v>530276</v>
      </c>
      <c r="J10" s="13">
        <v>554831</v>
      </c>
      <c r="K10" s="13">
        <v>563675</v>
      </c>
      <c r="L10" s="13">
        <v>570837</v>
      </c>
      <c r="M10" s="18">
        <v>468219</v>
      </c>
      <c r="N10" s="18">
        <v>479699</v>
      </c>
      <c r="O10" s="18">
        <v>528799</v>
      </c>
    </row>
    <row r="11" spans="1:17" x14ac:dyDescent="0.35">
      <c r="B11" s="8" t="s">
        <v>26</v>
      </c>
      <c r="C11" s="13">
        <v>155790</v>
      </c>
      <c r="D11" s="13">
        <v>173580</v>
      </c>
      <c r="E11" s="13">
        <v>199616</v>
      </c>
      <c r="F11" s="13">
        <v>263616</v>
      </c>
      <c r="G11" s="13">
        <v>296095</v>
      </c>
      <c r="H11" s="13">
        <v>210644</v>
      </c>
      <c r="I11" s="13">
        <v>162904</v>
      </c>
      <c r="J11" s="13">
        <v>203912</v>
      </c>
      <c r="K11" s="13">
        <v>231424</v>
      </c>
      <c r="L11" s="13">
        <v>182981</v>
      </c>
      <c r="M11" s="18">
        <v>17103</v>
      </c>
      <c r="N11" s="18">
        <v>69055</v>
      </c>
      <c r="O11" s="18">
        <v>133434</v>
      </c>
    </row>
    <row r="12" spans="1:17" x14ac:dyDescent="0.35">
      <c r="B12" s="8" t="s">
        <v>27</v>
      </c>
      <c r="C12" s="13">
        <v>1035296</v>
      </c>
      <c r="D12" s="13">
        <v>1502691</v>
      </c>
      <c r="E12" s="13">
        <v>1219898</v>
      </c>
      <c r="F12" s="13">
        <v>725242</v>
      </c>
      <c r="G12" s="13">
        <v>737237</v>
      </c>
      <c r="H12" s="13">
        <v>736916</v>
      </c>
      <c r="I12" s="13">
        <v>702488</v>
      </c>
      <c r="J12" s="13">
        <v>648640</v>
      </c>
      <c r="K12" s="13">
        <v>652213</v>
      </c>
      <c r="L12" s="13">
        <v>622266</v>
      </c>
      <c r="M12" s="18">
        <v>641240</v>
      </c>
      <c r="N12" s="18">
        <v>628912</v>
      </c>
      <c r="O12" s="18">
        <v>624815</v>
      </c>
    </row>
    <row r="13" spans="1:17" x14ac:dyDescent="0.35">
      <c r="B13" s="8" t="s">
        <v>28</v>
      </c>
      <c r="C13" s="13">
        <v>126816</v>
      </c>
      <c r="D13" s="13">
        <v>244559</v>
      </c>
      <c r="E13" s="13">
        <v>234567</v>
      </c>
      <c r="F13" s="13">
        <v>112161</v>
      </c>
      <c r="G13" s="13">
        <v>114525</v>
      </c>
      <c r="H13" s="13">
        <v>154928</v>
      </c>
      <c r="I13" s="13">
        <v>126796</v>
      </c>
      <c r="J13" s="13">
        <v>100671</v>
      </c>
      <c r="K13" s="13">
        <v>94219</v>
      </c>
      <c r="L13" s="13">
        <v>121108</v>
      </c>
      <c r="M13" s="18">
        <v>104508</v>
      </c>
      <c r="N13" s="18">
        <v>88525</v>
      </c>
      <c r="O13" s="18">
        <v>85376</v>
      </c>
    </row>
    <row r="14" spans="1:17" x14ac:dyDescent="0.35">
      <c r="B14" s="8" t="s">
        <v>29</v>
      </c>
      <c r="C14" s="13">
        <v>42507</v>
      </c>
      <c r="D14" s="13">
        <v>40944</v>
      </c>
      <c r="E14" s="13">
        <v>236</v>
      </c>
      <c r="F14" s="13">
        <v>0</v>
      </c>
      <c r="G14" s="13">
        <v>0</v>
      </c>
      <c r="H14" s="13">
        <v>0</v>
      </c>
      <c r="I14" s="13">
        <v>9056041</v>
      </c>
      <c r="J14" s="13">
        <v>1213130</v>
      </c>
      <c r="K14" s="13">
        <v>1380492</v>
      </c>
      <c r="L14" s="13">
        <v>5946</v>
      </c>
      <c r="M14" s="18">
        <v>6009</v>
      </c>
      <c r="N14" s="18">
        <v>5890</v>
      </c>
      <c r="O14" s="18">
        <v>5581</v>
      </c>
    </row>
    <row r="15" spans="1:17" s="6" customFormat="1" x14ac:dyDescent="0.35">
      <c r="B15" s="10" t="s">
        <v>30</v>
      </c>
      <c r="C15" s="14">
        <v>2990314</v>
      </c>
      <c r="D15" s="14">
        <v>4642833</v>
      </c>
      <c r="E15" s="14">
        <f>+SUM(E7:E14)</f>
        <v>3982655</v>
      </c>
      <c r="F15" s="14">
        <v>4476176</v>
      </c>
      <c r="G15" s="14">
        <v>4643626</v>
      </c>
      <c r="H15" s="14">
        <v>3781864</v>
      </c>
      <c r="I15" s="14">
        <v>11644902</v>
      </c>
      <c r="J15" s="14">
        <v>15074081</v>
      </c>
      <c r="K15" s="14">
        <v>14571663</v>
      </c>
      <c r="L15" s="58">
        <v>12863592</v>
      </c>
      <c r="M15" s="58">
        <v>10549601</v>
      </c>
      <c r="N15" s="58">
        <v>10311718</v>
      </c>
      <c r="O15" s="58">
        <v>9516161</v>
      </c>
    </row>
    <row r="16" spans="1:17" x14ac:dyDescent="0.35">
      <c r="B16" s="8" t="s">
        <v>25</v>
      </c>
      <c r="C16" s="13">
        <v>48782</v>
      </c>
      <c r="D16" s="13">
        <v>47705</v>
      </c>
      <c r="E16" s="13">
        <v>41208</v>
      </c>
      <c r="F16" s="13">
        <v>40274</v>
      </c>
      <c r="G16" s="13">
        <v>39519</v>
      </c>
      <c r="H16" s="13">
        <v>39784</v>
      </c>
      <c r="I16" s="13">
        <v>26841</v>
      </c>
      <c r="J16" s="18">
        <v>26230</v>
      </c>
      <c r="K16" s="18">
        <v>23711</v>
      </c>
      <c r="L16" s="18">
        <v>26045</v>
      </c>
      <c r="M16" s="18">
        <v>25333</v>
      </c>
      <c r="N16" s="18">
        <v>25496</v>
      </c>
      <c r="O16" s="18">
        <v>24425</v>
      </c>
      <c r="Q16" s="66"/>
    </row>
    <row r="17" spans="2:17" x14ac:dyDescent="0.35">
      <c r="B17" s="8" t="s">
        <v>31</v>
      </c>
      <c r="C17" s="13">
        <v>26602</v>
      </c>
      <c r="D17" s="13">
        <v>49084</v>
      </c>
      <c r="E17" s="13">
        <v>39238</v>
      </c>
      <c r="F17" s="13">
        <v>7672607</v>
      </c>
      <c r="G17" s="13">
        <v>8415800</v>
      </c>
      <c r="H17" s="13">
        <v>8588580</v>
      </c>
      <c r="I17" s="13">
        <v>44858</v>
      </c>
      <c r="J17" s="18">
        <v>40954</v>
      </c>
      <c r="K17" s="18">
        <v>39548</v>
      </c>
      <c r="L17" s="18">
        <v>50427</v>
      </c>
      <c r="M17" s="18">
        <v>41635</v>
      </c>
      <c r="N17" s="18">
        <v>39772</v>
      </c>
      <c r="O17" s="18">
        <v>37055</v>
      </c>
      <c r="Q17" s="66"/>
    </row>
    <row r="18" spans="2:17" x14ac:dyDescent="0.35">
      <c r="B18" s="8" t="s">
        <v>24</v>
      </c>
      <c r="C18" s="13">
        <v>15974</v>
      </c>
      <c r="D18" s="13">
        <v>87544</v>
      </c>
      <c r="E18" s="13">
        <v>34916</v>
      </c>
      <c r="F18" s="13">
        <v>26185</v>
      </c>
      <c r="G18" s="13">
        <v>62556</v>
      </c>
      <c r="H18" s="13">
        <v>100754</v>
      </c>
      <c r="I18" s="13">
        <v>146755</v>
      </c>
      <c r="J18" s="18">
        <v>99745</v>
      </c>
      <c r="K18" s="18">
        <v>77154</v>
      </c>
      <c r="L18" s="18">
        <v>79703</v>
      </c>
      <c r="M18" s="18">
        <v>54712</v>
      </c>
      <c r="N18" s="18">
        <v>49850</v>
      </c>
      <c r="O18" s="18">
        <v>35566</v>
      </c>
      <c r="Q18" s="66"/>
    </row>
    <row r="19" spans="2:17" x14ac:dyDescent="0.35">
      <c r="B19" s="8" t="s">
        <v>32</v>
      </c>
      <c r="C19" s="13">
        <v>876394</v>
      </c>
      <c r="D19" s="13">
        <v>1219082</v>
      </c>
      <c r="E19" s="13">
        <v>852755</v>
      </c>
      <c r="F19" s="13">
        <v>895396</v>
      </c>
      <c r="G19" s="13">
        <v>1007626</v>
      </c>
      <c r="H19" s="13">
        <v>854716</v>
      </c>
      <c r="I19" s="13">
        <v>1091606</v>
      </c>
      <c r="J19" s="18">
        <v>33749</v>
      </c>
      <c r="K19" s="18">
        <v>27439</v>
      </c>
      <c r="L19" s="18">
        <v>27530</v>
      </c>
      <c r="M19" s="18">
        <v>25926</v>
      </c>
      <c r="N19" s="18">
        <v>25362</v>
      </c>
      <c r="O19" s="18">
        <v>24630</v>
      </c>
      <c r="Q19" s="66"/>
    </row>
    <row r="20" spans="2:17" x14ac:dyDescent="0.35">
      <c r="B20" s="8" t="s">
        <v>33</v>
      </c>
      <c r="C20" s="13">
        <v>704845</v>
      </c>
      <c r="D20" s="13">
        <v>669344</v>
      </c>
      <c r="E20" s="13">
        <v>484712</v>
      </c>
      <c r="F20" s="13">
        <v>405168</v>
      </c>
      <c r="G20" s="13">
        <v>406957</v>
      </c>
      <c r="H20" s="13">
        <v>392681</v>
      </c>
      <c r="I20" s="13">
        <v>386961</v>
      </c>
      <c r="J20" s="18">
        <v>362874</v>
      </c>
      <c r="K20" s="18">
        <v>343220</v>
      </c>
      <c r="L20" s="18">
        <v>400888</v>
      </c>
      <c r="M20" s="18">
        <v>444770</v>
      </c>
      <c r="N20" s="18">
        <v>441911</v>
      </c>
      <c r="O20" s="18">
        <v>433826</v>
      </c>
      <c r="Q20" s="66"/>
    </row>
    <row r="21" spans="2:17" x14ac:dyDescent="0.35">
      <c r="B21" s="8" t="s">
        <v>34</v>
      </c>
      <c r="C21" s="13">
        <v>595787</v>
      </c>
      <c r="D21" s="13">
        <v>580846</v>
      </c>
      <c r="E21" s="13">
        <v>433223</v>
      </c>
      <c r="F21" s="13">
        <v>150527</v>
      </c>
      <c r="G21" s="13">
        <v>143188</v>
      </c>
      <c r="H21" s="13">
        <v>135520</v>
      </c>
      <c r="I21" s="13">
        <v>123318</v>
      </c>
      <c r="J21" s="18">
        <v>100672</v>
      </c>
      <c r="K21" s="18">
        <v>88385</v>
      </c>
      <c r="L21" s="18">
        <v>88675</v>
      </c>
      <c r="M21" s="18">
        <v>127071</v>
      </c>
      <c r="N21" s="18">
        <v>139283</v>
      </c>
      <c r="O21" s="18">
        <v>141467</v>
      </c>
      <c r="Q21" s="66"/>
    </row>
    <row r="22" spans="2:17" x14ac:dyDescent="0.35">
      <c r="B22" s="8" t="s">
        <v>35</v>
      </c>
      <c r="C22" s="13">
        <v>19953</v>
      </c>
      <c r="D22" s="13">
        <v>19470</v>
      </c>
      <c r="E22" s="13">
        <v>16164</v>
      </c>
      <c r="F22" s="13">
        <v>15879</v>
      </c>
      <c r="G22" s="13">
        <v>15593</v>
      </c>
      <c r="H22" s="13">
        <v>15192</v>
      </c>
      <c r="I22" s="13">
        <v>16738</v>
      </c>
      <c r="J22" s="18">
        <v>16738</v>
      </c>
      <c r="K22" s="18">
        <v>16738</v>
      </c>
      <c r="L22" s="18">
        <v>16738</v>
      </c>
      <c r="M22" s="18">
        <v>16466</v>
      </c>
      <c r="N22" s="18">
        <v>16466</v>
      </c>
      <c r="O22" s="18">
        <v>16466</v>
      </c>
      <c r="Q22" s="66"/>
    </row>
    <row r="23" spans="2:17" x14ac:dyDescent="0.35">
      <c r="B23" s="8" t="s">
        <v>36</v>
      </c>
      <c r="C23" s="13">
        <v>11890008</v>
      </c>
      <c r="D23" s="13">
        <v>13401459</v>
      </c>
      <c r="E23" s="13">
        <v>11523084</v>
      </c>
      <c r="F23" s="13">
        <v>4955707</v>
      </c>
      <c r="G23" s="13">
        <v>5037073</v>
      </c>
      <c r="H23" s="13">
        <v>5051476</v>
      </c>
      <c r="I23" s="13">
        <v>5101509</v>
      </c>
      <c r="J23" s="18">
        <v>5008061</v>
      </c>
      <c r="K23" s="18">
        <v>4934984</v>
      </c>
      <c r="L23" s="18">
        <v>4877278</v>
      </c>
      <c r="M23" s="18">
        <v>4764367</v>
      </c>
      <c r="N23" s="18">
        <v>4711491</v>
      </c>
      <c r="O23" s="18">
        <v>4619685</v>
      </c>
      <c r="Q23" s="66"/>
    </row>
    <row r="24" spans="2:17" x14ac:dyDescent="0.35">
      <c r="B24" s="8" t="s">
        <v>37</v>
      </c>
      <c r="C24" s="13">
        <v>225282</v>
      </c>
      <c r="D24" s="13">
        <v>266953</v>
      </c>
      <c r="E24" s="13">
        <v>240569</v>
      </c>
      <c r="F24" s="13">
        <v>199126</v>
      </c>
      <c r="G24" s="13">
        <v>206144</v>
      </c>
      <c r="H24" s="13">
        <v>206490</v>
      </c>
      <c r="I24" s="13">
        <v>215273</v>
      </c>
      <c r="J24" s="18">
        <v>210233</v>
      </c>
      <c r="K24" s="18">
        <v>207288</v>
      </c>
      <c r="L24" s="18">
        <v>200098</v>
      </c>
      <c r="M24" s="18">
        <v>195204</v>
      </c>
      <c r="N24" s="18">
        <v>193164</v>
      </c>
      <c r="O24" s="18">
        <v>187165</v>
      </c>
      <c r="Q24" s="66"/>
    </row>
    <row r="25" spans="2:17" x14ac:dyDescent="0.35">
      <c r="B25" s="8" t="s">
        <v>38</v>
      </c>
      <c r="C25" s="13">
        <v>1862913</v>
      </c>
      <c r="D25" s="13">
        <v>2011850</v>
      </c>
      <c r="E25" s="13">
        <v>1601761</v>
      </c>
      <c r="F25" s="13">
        <v>923106</v>
      </c>
      <c r="G25" s="13">
        <v>993123</v>
      </c>
      <c r="H25" s="13">
        <v>998267</v>
      </c>
      <c r="I25" s="13">
        <v>1033955</v>
      </c>
      <c r="J25" s="18">
        <v>981191</v>
      </c>
      <c r="K25" s="18">
        <v>948531</v>
      </c>
      <c r="L25" s="18">
        <v>908620</v>
      </c>
      <c r="M25" s="18">
        <v>872719</v>
      </c>
      <c r="N25" s="18">
        <v>847024</v>
      </c>
      <c r="O25" s="18">
        <v>791604</v>
      </c>
      <c r="Q25" s="66"/>
    </row>
    <row r="26" spans="2:17" x14ac:dyDescent="0.35">
      <c r="B26" s="8" t="s">
        <v>39</v>
      </c>
      <c r="C26" s="13">
        <v>312948</v>
      </c>
      <c r="D26" s="13">
        <v>259645</v>
      </c>
      <c r="E26" s="13">
        <v>250136</v>
      </c>
      <c r="F26" s="13">
        <v>108295</v>
      </c>
      <c r="G26" s="13">
        <v>97246</v>
      </c>
      <c r="H26" s="13">
        <v>101226</v>
      </c>
      <c r="I26" s="13">
        <v>101155</v>
      </c>
      <c r="J26" s="18">
        <v>92909</v>
      </c>
      <c r="K26" s="18">
        <v>102537</v>
      </c>
      <c r="L26" s="18">
        <v>95124</v>
      </c>
      <c r="M26" s="18">
        <v>80035</v>
      </c>
      <c r="N26" s="18">
        <v>77341</v>
      </c>
      <c r="O26" s="18">
        <v>75089</v>
      </c>
      <c r="Q26" s="66"/>
    </row>
    <row r="27" spans="2:17" x14ac:dyDescent="0.35">
      <c r="B27" s="8" t="s">
        <v>40</v>
      </c>
      <c r="C27" s="13" t="s">
        <v>3</v>
      </c>
      <c r="D27" s="13">
        <v>10117</v>
      </c>
      <c r="E27" s="13">
        <v>10318</v>
      </c>
      <c r="F27" s="13">
        <v>10437</v>
      </c>
      <c r="G27" s="13">
        <v>11238</v>
      </c>
      <c r="H27" s="13">
        <v>11675</v>
      </c>
      <c r="I27" s="13">
        <v>10346</v>
      </c>
      <c r="J27" s="18">
        <v>10091</v>
      </c>
      <c r="K27" s="18">
        <v>25116</v>
      </c>
      <c r="L27" s="18">
        <v>16120</v>
      </c>
      <c r="M27" s="18">
        <v>10289</v>
      </c>
      <c r="N27" s="18">
        <v>10414</v>
      </c>
      <c r="O27" s="18">
        <v>10217</v>
      </c>
      <c r="Q27" s="66"/>
    </row>
    <row r="28" spans="2:17" s="6" customFormat="1" x14ac:dyDescent="0.35">
      <c r="B28" s="10" t="s">
        <v>41</v>
      </c>
      <c r="C28" s="14">
        <v>16579488</v>
      </c>
      <c r="D28" s="14">
        <v>18623099</v>
      </c>
      <c r="E28" s="14">
        <f>+SUM(E16:E27)</f>
        <v>15528084</v>
      </c>
      <c r="F28" s="14">
        <v>15402707</v>
      </c>
      <c r="G28" s="14">
        <v>16436063</v>
      </c>
      <c r="H28" s="14">
        <v>16496361</v>
      </c>
      <c r="I28" s="14">
        <v>8299315</v>
      </c>
      <c r="J28" s="14">
        <v>6983447</v>
      </c>
      <c r="K28" s="14">
        <v>6834651</v>
      </c>
      <c r="L28" s="58">
        <v>6787246</v>
      </c>
      <c r="M28" s="58">
        <v>6658527</v>
      </c>
      <c r="N28" s="58">
        <v>6577574</v>
      </c>
      <c r="O28" s="58">
        <v>6397195</v>
      </c>
    </row>
    <row r="29" spans="2:17" s="6" customFormat="1" x14ac:dyDescent="0.35">
      <c r="B29" s="11"/>
      <c r="C29" s="14"/>
      <c r="D29" s="14"/>
      <c r="E29" s="14"/>
      <c r="F29" s="14"/>
      <c r="G29" s="14"/>
      <c r="H29" s="14"/>
      <c r="I29" s="14"/>
    </row>
    <row r="30" spans="2:17" s="6" customFormat="1" x14ac:dyDescent="0.35">
      <c r="B30" s="1"/>
      <c r="C30" s="14"/>
      <c r="D30" s="14"/>
      <c r="E30" s="14"/>
      <c r="F30" s="14"/>
      <c r="G30" s="14"/>
      <c r="H30" s="14"/>
      <c r="I30" s="14"/>
    </row>
    <row r="31" spans="2:17" s="6" customFormat="1" x14ac:dyDescent="0.35">
      <c r="B31" s="11" t="s">
        <v>140</v>
      </c>
      <c r="C31" s="14">
        <v>19569802</v>
      </c>
      <c r="D31" s="14">
        <v>23265932</v>
      </c>
      <c r="E31" s="14">
        <f>+E28+E15</f>
        <v>19510739</v>
      </c>
      <c r="F31" s="14">
        <v>19878883</v>
      </c>
      <c r="G31" s="14">
        <v>21079689</v>
      </c>
      <c r="H31" s="14">
        <v>20278225</v>
      </c>
      <c r="I31" s="14">
        <v>19944217</v>
      </c>
      <c r="J31" s="31">
        <v>22057528</v>
      </c>
      <c r="K31" s="31">
        <f>+K28+K15</f>
        <v>21406314</v>
      </c>
      <c r="L31" s="31">
        <v>19650838</v>
      </c>
      <c r="M31" s="31">
        <v>17208128</v>
      </c>
      <c r="N31" s="31">
        <v>16889292</v>
      </c>
      <c r="O31" s="58">
        <v>15913356</v>
      </c>
    </row>
    <row r="32" spans="2:17" x14ac:dyDescent="0.35">
      <c r="C32" s="15"/>
      <c r="D32" s="15"/>
      <c r="E32" s="15"/>
      <c r="F32" s="15"/>
      <c r="G32" s="15"/>
      <c r="H32" s="15"/>
      <c r="I32" s="15"/>
    </row>
    <row r="33" spans="2:23" x14ac:dyDescent="0.35">
      <c r="C33" s="16"/>
      <c r="D33" s="16"/>
      <c r="E33" s="16"/>
      <c r="F33" s="16"/>
      <c r="G33" s="16"/>
      <c r="H33" s="16"/>
      <c r="I33" s="16"/>
      <c r="J33" s="68"/>
    </row>
    <row r="34" spans="2:23" x14ac:dyDescent="0.35">
      <c r="B34" s="6" t="s">
        <v>139</v>
      </c>
      <c r="C34" s="16"/>
      <c r="D34" s="16"/>
      <c r="E34" s="16"/>
      <c r="F34" s="16"/>
      <c r="G34" s="16"/>
      <c r="H34" s="16"/>
      <c r="I34" s="16"/>
    </row>
    <row r="35" spans="2:23" x14ac:dyDescent="0.35">
      <c r="B35" s="8" t="s">
        <v>121</v>
      </c>
      <c r="C35" s="17">
        <v>1476758</v>
      </c>
      <c r="D35" s="17">
        <v>1197958</v>
      </c>
      <c r="E35" s="17">
        <v>1819111</v>
      </c>
      <c r="F35" s="17">
        <v>1405455</v>
      </c>
      <c r="G35" s="17">
        <v>1540831</v>
      </c>
      <c r="H35" s="17">
        <v>1228943</v>
      </c>
      <c r="I35" s="17">
        <v>740721</v>
      </c>
      <c r="J35" s="18">
        <v>842999</v>
      </c>
      <c r="K35" s="18">
        <v>825122</v>
      </c>
      <c r="L35" s="18">
        <v>660994</v>
      </c>
      <c r="M35" s="18">
        <v>634576</v>
      </c>
      <c r="N35" s="18">
        <v>614754</v>
      </c>
      <c r="O35" s="18">
        <v>660764</v>
      </c>
    </row>
    <row r="36" spans="2:23" x14ac:dyDescent="0.35">
      <c r="B36" s="8" t="s">
        <v>122</v>
      </c>
      <c r="C36" s="17">
        <v>118945</v>
      </c>
      <c r="D36" s="17">
        <v>126980</v>
      </c>
      <c r="E36" s="17">
        <v>103151</v>
      </c>
      <c r="F36" s="17">
        <v>46924</v>
      </c>
      <c r="G36" s="17">
        <v>43265</v>
      </c>
      <c r="H36" s="17">
        <v>40235</v>
      </c>
      <c r="I36" s="17">
        <v>29624</v>
      </c>
      <c r="J36" s="18">
        <v>51499</v>
      </c>
      <c r="K36" s="18">
        <v>46714</v>
      </c>
      <c r="L36" s="18">
        <v>40289</v>
      </c>
      <c r="M36" s="18">
        <v>30984</v>
      </c>
      <c r="N36" s="18">
        <v>45022</v>
      </c>
      <c r="O36" s="18">
        <v>52842</v>
      </c>
    </row>
    <row r="37" spans="2:23" x14ac:dyDescent="0.35">
      <c r="B37" s="8" t="s">
        <v>123</v>
      </c>
      <c r="C37" s="17">
        <v>983726</v>
      </c>
      <c r="D37" s="17">
        <v>1383501</v>
      </c>
      <c r="E37" s="17">
        <v>1160101</v>
      </c>
      <c r="F37" s="17">
        <v>889964</v>
      </c>
      <c r="G37" s="17">
        <v>1178528</v>
      </c>
      <c r="H37" s="17">
        <v>892613</v>
      </c>
      <c r="I37" s="17">
        <v>734575</v>
      </c>
      <c r="J37" s="18">
        <v>1541965</v>
      </c>
      <c r="K37" s="18">
        <v>1167534</v>
      </c>
      <c r="L37" s="18">
        <v>1012890</v>
      </c>
      <c r="M37" s="18">
        <v>504094</v>
      </c>
      <c r="N37" s="18">
        <v>1245570</v>
      </c>
      <c r="O37" s="18">
        <v>938788</v>
      </c>
    </row>
    <row r="38" spans="2:23" x14ac:dyDescent="0.35">
      <c r="B38" s="8" t="s">
        <v>124</v>
      </c>
      <c r="C38" s="17">
        <v>63100</v>
      </c>
      <c r="D38" s="17">
        <v>94530</v>
      </c>
      <c r="E38" s="17">
        <v>49078</v>
      </c>
      <c r="F38" s="17">
        <v>68766</v>
      </c>
      <c r="G38" s="17">
        <v>61496</v>
      </c>
      <c r="H38" s="17">
        <v>85273</v>
      </c>
      <c r="I38" s="17">
        <v>59612</v>
      </c>
      <c r="J38" s="18">
        <v>79995</v>
      </c>
      <c r="K38" s="18">
        <v>47180</v>
      </c>
      <c r="L38" s="18">
        <v>99033</v>
      </c>
      <c r="M38" s="18">
        <v>127203</v>
      </c>
      <c r="N38" s="18">
        <v>171332</v>
      </c>
      <c r="O38" s="18">
        <v>65294</v>
      </c>
    </row>
    <row r="39" spans="2:23" x14ac:dyDescent="0.35">
      <c r="B39" s="8" t="s">
        <v>125</v>
      </c>
      <c r="C39" s="17">
        <v>180102</v>
      </c>
      <c r="D39" s="17">
        <v>173361</v>
      </c>
      <c r="E39" s="17">
        <v>252106</v>
      </c>
      <c r="F39" s="17">
        <v>136127</v>
      </c>
      <c r="G39" s="17">
        <v>140002</v>
      </c>
      <c r="H39" s="17">
        <v>173078</v>
      </c>
      <c r="I39" s="17">
        <v>163691</v>
      </c>
      <c r="J39" s="18">
        <v>147929</v>
      </c>
      <c r="K39" s="18">
        <v>140328</v>
      </c>
      <c r="L39" s="18">
        <v>158793</v>
      </c>
      <c r="M39" s="18">
        <v>147600</v>
      </c>
      <c r="N39" s="18">
        <v>144574</v>
      </c>
      <c r="O39" s="18">
        <v>135076</v>
      </c>
    </row>
    <row r="40" spans="2:23" x14ac:dyDescent="0.35">
      <c r="B40" s="8" t="s">
        <v>126</v>
      </c>
      <c r="C40" s="17">
        <v>95660</v>
      </c>
      <c r="D40" s="17">
        <v>109179</v>
      </c>
      <c r="E40" s="17">
        <v>71504</v>
      </c>
      <c r="F40" s="17">
        <v>32249</v>
      </c>
      <c r="G40" s="17">
        <v>32696</v>
      </c>
      <c r="H40" s="17">
        <v>25487</v>
      </c>
      <c r="I40" s="17">
        <v>35276</v>
      </c>
      <c r="J40" s="18">
        <v>35693</v>
      </c>
      <c r="K40" s="18">
        <v>36311</v>
      </c>
      <c r="L40" s="18">
        <v>31105</v>
      </c>
      <c r="M40" s="18">
        <v>29348</v>
      </c>
      <c r="N40" s="18">
        <v>33147</v>
      </c>
      <c r="O40" s="18">
        <v>96998</v>
      </c>
    </row>
    <row r="41" spans="2:23" x14ac:dyDescent="0.35">
      <c r="B41" s="8" t="s">
        <v>127</v>
      </c>
      <c r="C41" s="17" t="s">
        <v>3</v>
      </c>
      <c r="D41" s="17">
        <v>85018</v>
      </c>
      <c r="E41" s="17">
        <v>88266</v>
      </c>
      <c r="F41" s="17">
        <v>101163</v>
      </c>
      <c r="G41" s="17">
        <v>78600</v>
      </c>
      <c r="H41" s="17">
        <v>80577</v>
      </c>
      <c r="I41" s="17">
        <v>89941</v>
      </c>
      <c r="J41" s="18">
        <v>0</v>
      </c>
      <c r="K41" s="18">
        <v>0</v>
      </c>
      <c r="L41" s="18">
        <v>0</v>
      </c>
      <c r="M41" s="18">
        <v>0</v>
      </c>
      <c r="N41" s="18">
        <v>0</v>
      </c>
      <c r="O41" s="18">
        <v>0</v>
      </c>
    </row>
    <row r="42" spans="2:23" x14ac:dyDescent="0.35">
      <c r="B42" s="8" t="s">
        <v>128</v>
      </c>
      <c r="C42" s="17">
        <v>1360</v>
      </c>
      <c r="D42" s="17">
        <v>21908</v>
      </c>
      <c r="E42" s="17">
        <v>226270</v>
      </c>
      <c r="F42" s="17">
        <v>159243</v>
      </c>
      <c r="G42" s="17">
        <v>234352</v>
      </c>
      <c r="H42" s="17">
        <v>67226</v>
      </c>
      <c r="I42" s="17">
        <v>35885</v>
      </c>
      <c r="J42" s="18">
        <v>49635</v>
      </c>
      <c r="K42" s="18">
        <v>85442</v>
      </c>
      <c r="L42" s="18">
        <v>179112</v>
      </c>
      <c r="M42" s="18">
        <v>111491</v>
      </c>
      <c r="N42" s="18">
        <v>30712</v>
      </c>
      <c r="O42" s="18">
        <v>42428</v>
      </c>
    </row>
    <row r="43" spans="2:23" x14ac:dyDescent="0.35">
      <c r="B43" s="8" t="s">
        <v>129</v>
      </c>
      <c r="C43" s="17">
        <v>317884</v>
      </c>
      <c r="D43" s="17">
        <v>458288</v>
      </c>
      <c r="E43" s="17">
        <v>196845</v>
      </c>
      <c r="F43" s="17">
        <v>145347</v>
      </c>
      <c r="G43" s="17">
        <v>433051</v>
      </c>
      <c r="H43" s="17">
        <v>430852</v>
      </c>
      <c r="I43" s="17">
        <v>271221</v>
      </c>
      <c r="J43" s="18">
        <v>18884</v>
      </c>
      <c r="K43" s="18">
        <v>102529</v>
      </c>
      <c r="L43" s="18">
        <v>96548</v>
      </c>
      <c r="M43" s="18">
        <v>95988</v>
      </c>
      <c r="N43" s="18">
        <v>92026</v>
      </c>
      <c r="O43" s="18">
        <v>313914</v>
      </c>
    </row>
    <row r="44" spans="2:23" x14ac:dyDescent="0.35">
      <c r="B44" s="8" t="s">
        <v>130</v>
      </c>
      <c r="C44" s="17">
        <v>247135</v>
      </c>
      <c r="D44" s="17">
        <v>272419</v>
      </c>
      <c r="E44" s="17">
        <v>265213</v>
      </c>
      <c r="F44" s="17">
        <v>174730</v>
      </c>
      <c r="G44" s="17">
        <v>234781</v>
      </c>
      <c r="H44" s="17">
        <v>182286</v>
      </c>
      <c r="I44" s="17">
        <v>205753</v>
      </c>
      <c r="J44" s="18">
        <v>165964</v>
      </c>
      <c r="K44" s="18">
        <v>177443</v>
      </c>
      <c r="L44" s="18">
        <v>162502</v>
      </c>
      <c r="M44" s="18">
        <v>231404</v>
      </c>
      <c r="N44" s="18">
        <v>182654</v>
      </c>
      <c r="O44" s="18">
        <v>189367</v>
      </c>
    </row>
    <row r="45" spans="2:23" s="6" customFormat="1" x14ac:dyDescent="0.35">
      <c r="B45" s="10" t="s">
        <v>134</v>
      </c>
      <c r="C45" s="14">
        <v>3484670</v>
      </c>
      <c r="D45" s="14">
        <v>3923142</v>
      </c>
      <c r="E45" s="14">
        <f>+SUM(E35:E44)</f>
        <v>4231645</v>
      </c>
      <c r="F45" s="14">
        <v>3159968</v>
      </c>
      <c r="G45" s="14">
        <v>3977602</v>
      </c>
      <c r="H45" s="14">
        <v>3206570</v>
      </c>
      <c r="I45" s="14">
        <v>2366299</v>
      </c>
      <c r="J45" s="14">
        <v>2934563</v>
      </c>
      <c r="K45" s="14">
        <v>2628603</v>
      </c>
      <c r="L45" s="14">
        <v>2441266</v>
      </c>
      <c r="M45" s="14">
        <v>1912688</v>
      </c>
      <c r="N45" s="14">
        <v>2559791</v>
      </c>
      <c r="O45" s="14">
        <f>SUM(O35:O44)</f>
        <v>2495471</v>
      </c>
      <c r="S45" s="85"/>
      <c r="T45" s="85"/>
      <c r="U45" s="85"/>
      <c r="V45" s="85"/>
      <c r="W45" s="85"/>
    </row>
    <row r="46" spans="2:23" s="6" customFormat="1" x14ac:dyDescent="0.35">
      <c r="B46" s="10"/>
      <c r="C46" s="14"/>
      <c r="D46" s="14"/>
      <c r="E46" s="14"/>
      <c r="F46" s="14"/>
      <c r="G46" s="14"/>
      <c r="H46" s="14"/>
      <c r="I46" s="14"/>
      <c r="J46" s="14"/>
      <c r="K46" s="14"/>
    </row>
    <row r="47" spans="2:23" x14ac:dyDescent="0.35">
      <c r="B47" s="8" t="s">
        <v>121</v>
      </c>
      <c r="C47" s="17">
        <v>1615678</v>
      </c>
      <c r="D47" s="17">
        <v>3119319</v>
      </c>
      <c r="E47" s="17">
        <v>2234376</v>
      </c>
      <c r="F47" s="17">
        <v>677684</v>
      </c>
      <c r="G47" s="17">
        <v>979969</v>
      </c>
      <c r="H47" s="17">
        <v>948203</v>
      </c>
      <c r="I47" s="17">
        <v>777686</v>
      </c>
      <c r="J47" s="17">
        <v>429772</v>
      </c>
      <c r="K47" s="17">
        <v>430547</v>
      </c>
      <c r="L47" s="17">
        <v>624407</v>
      </c>
      <c r="M47" s="17">
        <v>220303</v>
      </c>
      <c r="N47" s="17">
        <v>230064</v>
      </c>
      <c r="O47" s="17">
        <v>228695</v>
      </c>
    </row>
    <row r="48" spans="2:23" x14ac:dyDescent="0.35">
      <c r="B48" s="8" t="s">
        <v>131</v>
      </c>
      <c r="C48" s="17">
        <v>556586</v>
      </c>
      <c r="D48" s="17">
        <v>563899</v>
      </c>
      <c r="E48" s="17">
        <v>422628</v>
      </c>
      <c r="F48" s="17">
        <v>101750</v>
      </c>
      <c r="G48" s="17">
        <v>100250</v>
      </c>
      <c r="H48" s="17">
        <v>97379</v>
      </c>
      <c r="I48" s="17">
        <v>99698</v>
      </c>
      <c r="J48" s="17">
        <v>56342</v>
      </c>
      <c r="K48" s="17">
        <v>48903</v>
      </c>
      <c r="L48" s="17">
        <v>50366</v>
      </c>
      <c r="M48" s="17">
        <v>80010</v>
      </c>
      <c r="N48" s="17">
        <v>77122</v>
      </c>
      <c r="O48" s="17">
        <v>69572</v>
      </c>
    </row>
    <row r="49" spans="2:15" x14ac:dyDescent="0.35">
      <c r="B49" s="8" t="s">
        <v>123</v>
      </c>
      <c r="C49" s="17">
        <v>5</v>
      </c>
      <c r="D49" s="17" t="s">
        <v>3</v>
      </c>
      <c r="E49" s="17"/>
      <c r="F49" s="17"/>
      <c r="G49" s="17"/>
      <c r="H49" s="17"/>
      <c r="I49" s="17"/>
      <c r="J49" s="17">
        <v>75586</v>
      </c>
      <c r="K49" s="17">
        <v>74442</v>
      </c>
      <c r="L49" s="17">
        <v>127033</v>
      </c>
      <c r="M49" s="17">
        <v>123366</v>
      </c>
      <c r="N49" s="17">
        <v>121504</v>
      </c>
      <c r="O49" s="17">
        <v>114969</v>
      </c>
    </row>
    <row r="50" spans="2:15" x14ac:dyDescent="0.35">
      <c r="B50" s="8" t="s">
        <v>125</v>
      </c>
      <c r="C50" s="17">
        <v>237982</v>
      </c>
      <c r="D50" s="17">
        <v>191913</v>
      </c>
      <c r="E50" s="17">
        <v>232015</v>
      </c>
      <c r="F50" s="17">
        <v>223185</v>
      </c>
      <c r="G50" s="17">
        <v>222140</v>
      </c>
      <c r="H50" s="17">
        <v>222737</v>
      </c>
      <c r="I50" s="17">
        <v>199593</v>
      </c>
      <c r="J50" s="17">
        <v>198217</v>
      </c>
      <c r="K50" s="17">
        <v>195511</v>
      </c>
      <c r="L50" s="17">
        <v>195102</v>
      </c>
      <c r="M50" s="17">
        <v>189667</v>
      </c>
      <c r="N50" s="17">
        <v>191448</v>
      </c>
      <c r="O50" s="17">
        <v>194741</v>
      </c>
    </row>
    <row r="51" spans="2:15" x14ac:dyDescent="0.35">
      <c r="B51" s="8" t="s">
        <v>128</v>
      </c>
      <c r="C51" s="17">
        <v>47451</v>
      </c>
      <c r="D51" s="17">
        <v>649</v>
      </c>
      <c r="E51" s="17">
        <v>114138</v>
      </c>
      <c r="F51" s="17">
        <v>134391</v>
      </c>
      <c r="G51" s="17">
        <v>113020</v>
      </c>
      <c r="H51" s="17">
        <v>127507</v>
      </c>
      <c r="I51" s="17">
        <v>82414</v>
      </c>
      <c r="J51" s="17">
        <v>66998</v>
      </c>
      <c r="K51" s="17">
        <v>78897</v>
      </c>
      <c r="L51" s="17">
        <v>74300</v>
      </c>
      <c r="M51" s="17">
        <v>67005</v>
      </c>
      <c r="N51" s="17">
        <v>55714</v>
      </c>
      <c r="O51" s="17">
        <v>55032</v>
      </c>
    </row>
    <row r="52" spans="2:15" x14ac:dyDescent="0.35">
      <c r="B52" s="8" t="s">
        <v>126</v>
      </c>
      <c r="C52" s="17">
        <v>201762</v>
      </c>
      <c r="D52" s="17">
        <v>189720</v>
      </c>
      <c r="E52" s="17">
        <v>185436</v>
      </c>
      <c r="F52" s="17">
        <v>48742</v>
      </c>
      <c r="G52" s="17">
        <v>50249</v>
      </c>
      <c r="H52" s="17">
        <v>61323</v>
      </c>
      <c r="I52" s="17">
        <v>50867</v>
      </c>
      <c r="J52" s="17">
        <v>48915</v>
      </c>
      <c r="K52" s="17">
        <v>47167</v>
      </c>
      <c r="L52" s="17">
        <v>49308</v>
      </c>
      <c r="M52" s="17">
        <v>41664</v>
      </c>
      <c r="N52" s="17">
        <v>42531</v>
      </c>
      <c r="O52" s="17">
        <v>45489</v>
      </c>
    </row>
    <row r="53" spans="2:15" x14ac:dyDescent="0.35">
      <c r="B53" s="8" t="s">
        <v>129</v>
      </c>
      <c r="C53" s="17">
        <v>2926871</v>
      </c>
      <c r="D53" s="17">
        <v>2740742</v>
      </c>
      <c r="E53" s="17">
        <v>2497133</v>
      </c>
      <c r="F53" s="17">
        <v>2462877</v>
      </c>
      <c r="G53" s="17">
        <v>1980716</v>
      </c>
      <c r="H53" s="17">
        <v>1979413</v>
      </c>
      <c r="I53" s="17">
        <v>1976130</v>
      </c>
      <c r="J53" s="17">
        <v>1977069</v>
      </c>
      <c r="K53" s="17">
        <v>1861039</v>
      </c>
      <c r="L53" s="17">
        <v>1862038</v>
      </c>
      <c r="M53" s="17">
        <v>1850344</v>
      </c>
      <c r="N53" s="17">
        <v>1849999</v>
      </c>
      <c r="O53" s="17">
        <v>1553239</v>
      </c>
    </row>
    <row r="54" spans="2:15" x14ac:dyDescent="0.35">
      <c r="B54" s="8" t="s">
        <v>130</v>
      </c>
      <c r="C54" s="17"/>
      <c r="D54" s="17"/>
      <c r="E54" s="17"/>
      <c r="F54" s="17">
        <v>81461</v>
      </c>
      <c r="G54" s="17">
        <v>78425</v>
      </c>
      <c r="H54" s="17">
        <v>75355</v>
      </c>
      <c r="I54" s="17">
        <v>72284</v>
      </c>
      <c r="J54" s="17">
        <v>69280</v>
      </c>
      <c r="K54" s="17">
        <v>66243</v>
      </c>
      <c r="L54" s="17">
        <v>53479</v>
      </c>
      <c r="M54" s="78">
        <v>0</v>
      </c>
      <c r="N54" s="78">
        <v>0</v>
      </c>
      <c r="O54" s="78">
        <v>0</v>
      </c>
    </row>
    <row r="55" spans="2:15" x14ac:dyDescent="0.35">
      <c r="B55" s="8" t="s">
        <v>132</v>
      </c>
      <c r="C55" s="17">
        <v>293992</v>
      </c>
      <c r="D55" s="17">
        <v>467394</v>
      </c>
      <c r="E55" s="17">
        <v>518369</v>
      </c>
      <c r="F55" s="17">
        <v>507116</v>
      </c>
      <c r="G55" s="17">
        <v>445318</v>
      </c>
      <c r="H55" s="17">
        <v>441986</v>
      </c>
      <c r="I55" s="17">
        <v>372103</v>
      </c>
      <c r="J55" s="17">
        <v>1735368</v>
      </c>
      <c r="K55" s="17">
        <v>1726191</v>
      </c>
      <c r="L55" s="17">
        <v>1720399</v>
      </c>
      <c r="M55" s="78">
        <v>1475074</v>
      </c>
      <c r="N55" s="78">
        <v>1451951</v>
      </c>
      <c r="O55" s="78">
        <v>1423254</v>
      </c>
    </row>
    <row r="56" spans="2:15" s="6" customFormat="1" x14ac:dyDescent="0.35">
      <c r="B56" s="10" t="s">
        <v>135</v>
      </c>
      <c r="C56" s="14">
        <v>5880327</v>
      </c>
      <c r="D56" s="14">
        <v>7273636</v>
      </c>
      <c r="E56" s="14">
        <f>+SUM(E47:E55)</f>
        <v>6204095</v>
      </c>
      <c r="F56" s="14">
        <v>4237206</v>
      </c>
      <c r="G56" s="14">
        <v>3970087</v>
      </c>
      <c r="H56" s="14">
        <v>3953903</v>
      </c>
      <c r="I56" s="14">
        <v>3630775</v>
      </c>
      <c r="J56" s="14">
        <v>4657547</v>
      </c>
      <c r="K56" s="14">
        <v>4528940</v>
      </c>
      <c r="L56" s="58">
        <v>4756432</v>
      </c>
      <c r="M56" s="58">
        <v>4047433</v>
      </c>
      <c r="N56" s="58">
        <v>4020333</v>
      </c>
      <c r="O56" s="82">
        <v>3684991</v>
      </c>
    </row>
    <row r="57" spans="2:15" s="6" customFormat="1" x14ac:dyDescent="0.35">
      <c r="B57" s="10"/>
      <c r="C57" s="14"/>
      <c r="D57" s="14"/>
      <c r="E57" s="14"/>
      <c r="F57" s="14"/>
      <c r="G57" s="14"/>
      <c r="H57" s="14"/>
      <c r="I57" s="14"/>
    </row>
    <row r="58" spans="2:15" s="6" customFormat="1" x14ac:dyDescent="0.35">
      <c r="B58" s="10"/>
      <c r="C58" s="14"/>
      <c r="D58" s="14"/>
      <c r="E58" s="14"/>
      <c r="F58" s="14"/>
      <c r="G58" s="14"/>
      <c r="H58" s="14"/>
      <c r="I58" s="14"/>
    </row>
    <row r="59" spans="2:15" s="6" customFormat="1" x14ac:dyDescent="0.35">
      <c r="B59" s="11" t="s">
        <v>133</v>
      </c>
      <c r="C59" s="14">
        <v>9364997</v>
      </c>
      <c r="D59" s="14">
        <v>11196778</v>
      </c>
      <c r="E59" s="14">
        <f>+E56+E45</f>
        <v>10435740</v>
      </c>
      <c r="F59" s="14">
        <v>7397174</v>
      </c>
      <c r="G59" s="14">
        <v>7947689</v>
      </c>
      <c r="H59" s="14">
        <v>7160473</v>
      </c>
      <c r="I59" s="14">
        <v>5997074</v>
      </c>
      <c r="J59" s="31">
        <v>7592110</v>
      </c>
      <c r="K59" s="58">
        <v>7157543</v>
      </c>
      <c r="L59" s="58">
        <v>7197698</v>
      </c>
      <c r="M59" s="58">
        <v>5960121</v>
      </c>
      <c r="N59" s="58">
        <v>6580124</v>
      </c>
      <c r="O59" s="58">
        <v>6180462</v>
      </c>
    </row>
    <row r="60" spans="2:15" x14ac:dyDescent="0.35">
      <c r="C60" s="17"/>
      <c r="D60" s="17"/>
      <c r="E60" s="15"/>
      <c r="F60" s="15"/>
      <c r="G60" s="15"/>
      <c r="H60" s="15"/>
      <c r="I60" s="15"/>
    </row>
    <row r="61" spans="2:15" x14ac:dyDescent="0.35">
      <c r="B61" s="8"/>
      <c r="C61" s="18"/>
      <c r="D61" s="18"/>
      <c r="E61" s="18"/>
      <c r="F61" s="18"/>
      <c r="G61" s="18"/>
      <c r="H61" s="18"/>
      <c r="I61" s="18"/>
    </row>
    <row r="62" spans="2:15" x14ac:dyDescent="0.35">
      <c r="B62" s="9" t="s">
        <v>137</v>
      </c>
      <c r="C62" s="17">
        <v>9250118</v>
      </c>
      <c r="D62" s="17">
        <v>11018470</v>
      </c>
      <c r="E62" s="17">
        <v>8355403</v>
      </c>
      <c r="F62" s="17">
        <v>11823574</v>
      </c>
      <c r="G62" s="17">
        <v>12372596</v>
      </c>
      <c r="H62" s="17">
        <v>12335693</v>
      </c>
      <c r="I62" s="17">
        <v>13135981</v>
      </c>
      <c r="J62" s="17">
        <v>13742741</v>
      </c>
      <c r="K62" s="17">
        <v>13539368</v>
      </c>
      <c r="L62" s="18">
        <v>11749426</v>
      </c>
      <c r="M62" s="18">
        <v>10529764</v>
      </c>
      <c r="N62" s="18">
        <v>9642346</v>
      </c>
      <c r="O62" s="18">
        <v>9091254</v>
      </c>
    </row>
    <row r="63" spans="2:15" x14ac:dyDescent="0.35">
      <c r="B63" s="9" t="s">
        <v>136</v>
      </c>
      <c r="C63" s="17">
        <v>954687</v>
      </c>
      <c r="D63" s="17">
        <v>1050684</v>
      </c>
      <c r="E63" s="17">
        <v>719596</v>
      </c>
      <c r="F63" s="17">
        <v>658135</v>
      </c>
      <c r="G63" s="17">
        <v>759404</v>
      </c>
      <c r="H63" s="17">
        <v>782059</v>
      </c>
      <c r="I63" s="17">
        <v>811162</v>
      </c>
      <c r="J63" s="17">
        <v>722677</v>
      </c>
      <c r="K63" s="17">
        <v>709403</v>
      </c>
      <c r="L63" s="18">
        <v>703714</v>
      </c>
      <c r="M63" s="18">
        <v>718243</v>
      </c>
      <c r="N63" s="18">
        <v>666822</v>
      </c>
      <c r="O63" s="18">
        <v>641640</v>
      </c>
    </row>
    <row r="64" spans="2:15" s="6" customFormat="1" x14ac:dyDescent="0.35">
      <c r="B64" s="11" t="s">
        <v>138</v>
      </c>
      <c r="C64" s="14">
        <v>10204805</v>
      </c>
      <c r="D64" s="14">
        <v>12069154</v>
      </c>
      <c r="E64" s="14">
        <f>+SUM(E62:E63)</f>
        <v>9074999</v>
      </c>
      <c r="F64" s="14">
        <v>12481709</v>
      </c>
      <c r="G64" s="14">
        <v>13132000</v>
      </c>
      <c r="H64" s="14">
        <v>13117752</v>
      </c>
      <c r="I64" s="14">
        <v>13947143</v>
      </c>
      <c r="J64" s="14">
        <v>14465418</v>
      </c>
      <c r="K64" s="58">
        <v>14248771</v>
      </c>
      <c r="L64" s="58">
        <v>12453140</v>
      </c>
      <c r="M64" s="58">
        <v>11248007</v>
      </c>
      <c r="N64" s="58">
        <v>10309168</v>
      </c>
      <c r="O64" s="58">
        <v>9732894</v>
      </c>
    </row>
    <row r="65" spans="2:15" x14ac:dyDescent="0.35">
      <c r="C65" s="19"/>
      <c r="D65" s="19"/>
      <c r="E65" s="19"/>
      <c r="F65" s="19"/>
      <c r="G65" s="19"/>
      <c r="H65" s="19"/>
    </row>
    <row r="66" spans="2:15" x14ac:dyDescent="0.35">
      <c r="B66" s="8"/>
      <c r="C66" s="16"/>
      <c r="D66" s="16"/>
      <c r="E66" s="16"/>
      <c r="F66" s="16"/>
      <c r="G66" s="16"/>
      <c r="H66" s="16"/>
    </row>
    <row r="67" spans="2:15" s="6" customFormat="1" x14ac:dyDescent="0.35">
      <c r="B67" s="11" t="s">
        <v>141</v>
      </c>
      <c r="C67" s="14">
        <v>19569802</v>
      </c>
      <c r="D67" s="14">
        <v>23265932</v>
      </c>
      <c r="E67" s="14">
        <f>+E64+E59</f>
        <v>19510739</v>
      </c>
      <c r="F67" s="14">
        <f>+F64+F59</f>
        <v>19878883</v>
      </c>
      <c r="G67" s="14">
        <v>21079689</v>
      </c>
      <c r="H67" s="58">
        <f>H64+H59</f>
        <v>20278225</v>
      </c>
      <c r="I67" s="58">
        <f>I64+I59</f>
        <v>19944217</v>
      </c>
      <c r="J67" s="58">
        <f>J64+J59</f>
        <v>22057528</v>
      </c>
      <c r="K67" s="58">
        <f>K64+K59</f>
        <v>21406314</v>
      </c>
      <c r="L67" s="58">
        <f t="shared" ref="L67:M67" si="0">L64+L59</f>
        <v>19650838</v>
      </c>
      <c r="M67" s="58">
        <f t="shared" si="0"/>
        <v>17208128</v>
      </c>
      <c r="N67" s="31">
        <v>16889292</v>
      </c>
      <c r="O67" s="58">
        <v>15913356</v>
      </c>
    </row>
    <row r="68" spans="2:15" x14ac:dyDescent="0.35">
      <c r="B68" s="8"/>
      <c r="C68" s="66"/>
      <c r="D68" s="66"/>
      <c r="E68" s="66"/>
      <c r="F68" s="66"/>
      <c r="G68" s="66"/>
      <c r="H68" s="66"/>
      <c r="I68" s="66"/>
      <c r="J68" s="66"/>
    </row>
    <row r="69" spans="2:15" ht="15.5" x14ac:dyDescent="0.35">
      <c r="B69" s="1" t="s">
        <v>142</v>
      </c>
    </row>
  </sheetData>
  <mergeCells count="2">
    <mergeCell ref="B1:B3"/>
    <mergeCell ref="S45:W45"/>
  </mergeCells>
  <phoneticPr fontId="17" type="noConversion"/>
  <pageMargins left="0.7" right="0.7" top="0.75" bottom="0.75" header="0.3" footer="0.3"/>
  <customProperties>
    <customPr name="EpmWorksheetKeyString_GUID" r:id="rId1"/>
  </customProperties>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DE3197-4580-4FCD-991C-0417D9A86BA0}">
  <dimension ref="B1:U54"/>
  <sheetViews>
    <sheetView showGridLines="0" zoomScale="144" zoomScaleNormal="80" workbookViewId="0">
      <pane xSplit="2" ySplit="7" topLeftCell="M8" activePane="bottomRight" state="frozen"/>
      <selection pane="topRight" activeCell="B1" sqref="B1"/>
      <selection pane="bottomLeft" activeCell="A7" sqref="A7"/>
      <selection pane="bottomRight" activeCell="Q33" sqref="Q33"/>
    </sheetView>
  </sheetViews>
  <sheetFormatPr baseColWidth="10" defaultRowHeight="13.5" x14ac:dyDescent="0.35"/>
  <cols>
    <col min="1" max="1" width="4.26953125" style="1" customWidth="1"/>
    <col min="2" max="2" width="43.26953125" style="12" bestFit="1" customWidth="1"/>
    <col min="3" max="3" width="10.81640625" style="1" customWidth="1"/>
    <col min="4" max="5" width="11.36328125" style="23" bestFit="1" customWidth="1"/>
    <col min="6" max="11" width="11.36328125" style="23" customWidth="1"/>
    <col min="12" max="17" width="16" style="1" customWidth="1"/>
    <col min="18" max="20" width="12.90625" style="1" bestFit="1" customWidth="1"/>
    <col min="21" max="16384" width="10.90625" style="1"/>
  </cols>
  <sheetData>
    <row r="1" spans="2:21" s="49" customFormat="1" x14ac:dyDescent="0.35">
      <c r="B1" s="84" t="s">
        <v>115</v>
      </c>
      <c r="D1" s="50"/>
      <c r="E1" s="50"/>
      <c r="F1" s="50"/>
      <c r="G1" s="50"/>
      <c r="H1" s="50"/>
      <c r="I1" s="50"/>
      <c r="J1" s="50"/>
      <c r="K1" s="50"/>
    </row>
    <row r="2" spans="2:21" s="49" customFormat="1" x14ac:dyDescent="0.35">
      <c r="B2" s="84"/>
      <c r="D2" s="50"/>
      <c r="E2" s="50"/>
      <c r="F2" s="50"/>
      <c r="G2" s="50"/>
      <c r="H2" s="50"/>
      <c r="I2" s="50"/>
      <c r="J2" s="50"/>
      <c r="K2" s="50"/>
    </row>
    <row r="3" spans="2:21" s="49" customFormat="1" x14ac:dyDescent="0.35">
      <c r="B3" s="84"/>
      <c r="D3" s="50"/>
      <c r="E3" s="50"/>
      <c r="F3" s="50"/>
      <c r="G3" s="50"/>
      <c r="H3" s="50"/>
      <c r="I3" s="50"/>
      <c r="J3" s="50"/>
      <c r="K3" s="50"/>
    </row>
    <row r="5" spans="2:21" x14ac:dyDescent="0.35">
      <c r="B5" s="1" t="s">
        <v>67</v>
      </c>
      <c r="C5" s="85"/>
      <c r="D5" s="85"/>
      <c r="E5" s="85"/>
      <c r="F5" s="5"/>
      <c r="G5" s="5"/>
      <c r="H5" s="5"/>
      <c r="I5" s="5"/>
      <c r="J5" s="5"/>
      <c r="K5" s="5"/>
      <c r="R5" s="85" t="s">
        <v>119</v>
      </c>
      <c r="S5" s="85"/>
    </row>
    <row r="6" spans="2:21" x14ac:dyDescent="0.35">
      <c r="B6" s="1"/>
      <c r="C6" s="86" t="s">
        <v>18</v>
      </c>
      <c r="D6" s="86"/>
      <c r="E6" s="86"/>
      <c r="F6" s="86"/>
      <c r="G6" s="5"/>
      <c r="H6" s="5"/>
      <c r="I6" s="5"/>
      <c r="J6" s="5"/>
      <c r="K6" s="5"/>
      <c r="R6" s="5"/>
      <c r="S6" s="5"/>
      <c r="T6" s="5"/>
    </row>
    <row r="7" spans="2:21" s="5" customFormat="1" x14ac:dyDescent="0.35">
      <c r="B7" s="29"/>
      <c r="C7" s="5" t="s">
        <v>8</v>
      </c>
      <c r="D7" s="30" t="s">
        <v>9</v>
      </c>
      <c r="E7" s="30" t="s">
        <v>11</v>
      </c>
      <c r="F7" s="30" t="s">
        <v>10</v>
      </c>
      <c r="G7" s="30" t="s">
        <v>17</v>
      </c>
      <c r="H7" s="30" t="s">
        <v>19</v>
      </c>
      <c r="I7" s="30" t="s">
        <v>20</v>
      </c>
      <c r="J7" s="30" t="s">
        <v>117</v>
      </c>
      <c r="K7" s="30" t="s">
        <v>118</v>
      </c>
      <c r="L7" s="5" t="s">
        <v>148</v>
      </c>
      <c r="M7" s="30" t="s">
        <v>150</v>
      </c>
      <c r="N7" s="30" t="s">
        <v>151</v>
      </c>
      <c r="O7" s="30" t="s">
        <v>157</v>
      </c>
      <c r="P7" s="30" t="s">
        <v>160</v>
      </c>
      <c r="Q7" s="30"/>
      <c r="R7" s="5">
        <v>2023</v>
      </c>
      <c r="S7" s="5">
        <v>2024</v>
      </c>
      <c r="T7" s="5">
        <v>2025</v>
      </c>
      <c r="U7" s="5">
        <v>2026</v>
      </c>
    </row>
    <row r="8" spans="2:21" x14ac:dyDescent="0.35">
      <c r="B8" s="20" t="s">
        <v>42</v>
      </c>
      <c r="D8" s="24"/>
      <c r="E8" s="24"/>
      <c r="F8" s="24"/>
      <c r="G8" s="24"/>
      <c r="H8" s="24"/>
      <c r="I8" s="24"/>
      <c r="J8" s="24"/>
      <c r="K8" s="24"/>
    </row>
    <row r="9" spans="2:21" x14ac:dyDescent="0.35">
      <c r="B9" s="21" t="s">
        <v>43</v>
      </c>
      <c r="C9" s="25">
        <v>3381707</v>
      </c>
      <c r="D9" s="25">
        <v>3331512</v>
      </c>
      <c r="E9" s="25">
        <v>3086634</v>
      </c>
      <c r="F9" s="25">
        <v>2917492</v>
      </c>
      <c r="G9" s="25">
        <v>1311333</v>
      </c>
      <c r="H9" s="25">
        <v>1344172</v>
      </c>
      <c r="I9" s="25">
        <v>1335627</v>
      </c>
      <c r="J9" s="25">
        <v>1308149</v>
      </c>
      <c r="K9" s="25">
        <v>1231040</v>
      </c>
      <c r="L9" s="25">
        <v>1283386.970337</v>
      </c>
      <c r="M9" s="25">
        <v>1366446</v>
      </c>
      <c r="N9" s="25">
        <v>1274809</v>
      </c>
      <c r="O9" s="25">
        <v>1221694</v>
      </c>
      <c r="P9" s="25">
        <v>1314794</v>
      </c>
      <c r="Q9" s="25"/>
      <c r="R9" s="25">
        <f t="shared" ref="R9:R24" si="0">SUM(C9:F9)</f>
        <v>12717345</v>
      </c>
      <c r="S9" s="25">
        <f t="shared" ref="S9:S24" si="1">SUM(G9:J9)</f>
        <v>5299281</v>
      </c>
      <c r="T9" s="25">
        <f t="shared" ref="T9:T24" si="2">+SUM(K9:N9)</f>
        <v>5155681.9703369997</v>
      </c>
      <c r="U9" s="25">
        <f>+SUM(O9:P9)</f>
        <v>2536488</v>
      </c>
    </row>
    <row r="10" spans="2:21" x14ac:dyDescent="0.35">
      <c r="B10" s="22" t="s">
        <v>44</v>
      </c>
      <c r="C10" s="25">
        <v>711</v>
      </c>
      <c r="D10" s="25">
        <v>750</v>
      </c>
      <c r="E10" s="25">
        <v>760</v>
      </c>
      <c r="F10" s="27">
        <v>717</v>
      </c>
      <c r="G10" s="27">
        <v>334.4537622232084</v>
      </c>
      <c r="H10" s="27">
        <v>342.78094232398496</v>
      </c>
      <c r="I10" s="27">
        <v>335.4784666160964</v>
      </c>
      <c r="J10" s="27">
        <v>298.83608468855482</v>
      </c>
      <c r="K10" s="27">
        <v>293.77554940924637</v>
      </c>
      <c r="L10" s="27">
        <v>305.57966914901755</v>
      </c>
      <c r="M10" s="27">
        <v>340.43725026362733</v>
      </c>
      <c r="N10" s="27">
        <v>332.30768686947988</v>
      </c>
      <c r="O10" s="27">
        <v>330.52070960118459</v>
      </c>
      <c r="P10" s="27">
        <v>359.69695706046355</v>
      </c>
      <c r="Q10" s="27"/>
      <c r="R10" s="27">
        <f t="shared" si="0"/>
        <v>2938</v>
      </c>
      <c r="S10" s="27">
        <f t="shared" si="1"/>
        <v>1311.5492558518445</v>
      </c>
      <c r="T10" s="25">
        <f t="shared" si="2"/>
        <v>1272.1001556913711</v>
      </c>
      <c r="U10" s="25">
        <f>+SUM(O10:P10)</f>
        <v>690.21766666164808</v>
      </c>
    </row>
    <row r="11" spans="2:21" x14ac:dyDescent="0.35">
      <c r="B11" s="21" t="s">
        <v>45</v>
      </c>
      <c r="C11" s="25">
        <f t="shared" ref="C11:E11" si="3">+SUM(C12:C13)</f>
        <v>-2728659</v>
      </c>
      <c r="D11" s="25">
        <f t="shared" si="3"/>
        <v>-2587242</v>
      </c>
      <c r="E11" s="25">
        <f t="shared" si="3"/>
        <v>-2307349</v>
      </c>
      <c r="F11" s="25">
        <f t="shared" ref="F11" si="4">+SUM(F12:F13)</f>
        <v>-2192870</v>
      </c>
      <c r="G11" s="25">
        <v>-977073</v>
      </c>
      <c r="H11" s="25">
        <v>-1015148</v>
      </c>
      <c r="I11" s="25">
        <v>-975489</v>
      </c>
      <c r="J11" s="25">
        <v>-999811</v>
      </c>
      <c r="K11" s="25">
        <v>-914987</v>
      </c>
      <c r="L11" s="25">
        <v>-940380</v>
      </c>
      <c r="M11" s="25">
        <v>-958959</v>
      </c>
      <c r="N11" s="25">
        <v>-926450</v>
      </c>
      <c r="O11" s="25">
        <f>O12+O13</f>
        <v>-906398</v>
      </c>
      <c r="P11" s="25">
        <v>-1004573</v>
      </c>
      <c r="Q11" s="25"/>
      <c r="R11" s="25">
        <f t="shared" si="0"/>
        <v>-9816120</v>
      </c>
      <c r="S11" s="25">
        <f t="shared" si="1"/>
        <v>-3967521</v>
      </c>
      <c r="T11" s="25">
        <f t="shared" si="2"/>
        <v>-3740776</v>
      </c>
      <c r="U11" s="25">
        <f>+SUM(O11:P11)</f>
        <v>-1910971</v>
      </c>
    </row>
    <row r="12" spans="2:21" x14ac:dyDescent="0.35">
      <c r="B12" s="21" t="s">
        <v>46</v>
      </c>
      <c r="C12" s="25">
        <v>-2489049</v>
      </c>
      <c r="D12" s="25">
        <v>-2367497</v>
      </c>
      <c r="E12" s="25">
        <v>-2108354</v>
      </c>
      <c r="F12" s="25">
        <v>-1983453</v>
      </c>
      <c r="G12" s="25">
        <v>-890990</v>
      </c>
      <c r="H12" s="25">
        <v>-915921</v>
      </c>
      <c r="I12" s="25">
        <v>-862610</v>
      </c>
      <c r="J12" s="25">
        <v>-900044</v>
      </c>
      <c r="K12" s="25">
        <v>-822849</v>
      </c>
      <c r="L12" s="25">
        <v>-846512</v>
      </c>
      <c r="M12" s="25">
        <v>-868915</v>
      </c>
      <c r="N12" s="25">
        <v>-823599</v>
      </c>
      <c r="O12" s="25">
        <v>-806362</v>
      </c>
      <c r="P12" s="25">
        <v>-907915</v>
      </c>
      <c r="Q12" s="25"/>
      <c r="R12" s="25">
        <f t="shared" si="0"/>
        <v>-8948353</v>
      </c>
      <c r="S12" s="25">
        <f t="shared" si="1"/>
        <v>-3569565</v>
      </c>
      <c r="T12" s="25">
        <f t="shared" si="2"/>
        <v>-3361875</v>
      </c>
      <c r="U12" s="25">
        <f t="shared" ref="U12:U13" si="5">+SUM(O12:P12)</f>
        <v>-1714277</v>
      </c>
    </row>
    <row r="13" spans="2:21" x14ac:dyDescent="0.35">
      <c r="B13" s="21" t="s">
        <v>47</v>
      </c>
      <c r="C13" s="25">
        <v>-239610</v>
      </c>
      <c r="D13" s="25">
        <v>-219745</v>
      </c>
      <c r="E13" s="25">
        <v>-198995</v>
      </c>
      <c r="F13" s="25">
        <v>-209417</v>
      </c>
      <c r="G13" s="25">
        <v>-86083</v>
      </c>
      <c r="H13" s="25">
        <v>-99227</v>
      </c>
      <c r="I13" s="25">
        <v>-112879</v>
      </c>
      <c r="J13" s="25">
        <v>-99767</v>
      </c>
      <c r="K13" s="25">
        <v>-92138</v>
      </c>
      <c r="L13" s="25">
        <v>-93868</v>
      </c>
      <c r="M13" s="25">
        <v>-90044</v>
      </c>
      <c r="N13" s="25">
        <v>-102851</v>
      </c>
      <c r="O13" s="25">
        <v>-100036</v>
      </c>
      <c r="P13" s="25">
        <v>-96658</v>
      </c>
      <c r="Q13" s="25"/>
      <c r="R13" s="25">
        <f t="shared" si="0"/>
        <v>-867767</v>
      </c>
      <c r="S13" s="25">
        <f t="shared" si="1"/>
        <v>-397956</v>
      </c>
      <c r="T13" s="25">
        <f t="shared" si="2"/>
        <v>-378901</v>
      </c>
      <c r="U13" s="25">
        <f t="shared" si="5"/>
        <v>-196694</v>
      </c>
    </row>
    <row r="14" spans="2:21" x14ac:dyDescent="0.35">
      <c r="B14" s="20" t="s">
        <v>48</v>
      </c>
      <c r="C14" s="26">
        <f>+C9+C11</f>
        <v>653048</v>
      </c>
      <c r="D14" s="26">
        <f>+D9+D11</f>
        <v>744270</v>
      </c>
      <c r="E14" s="26">
        <f>+E9+E11</f>
        <v>779285</v>
      </c>
      <c r="F14" s="26">
        <f>+F9+F11</f>
        <v>724622</v>
      </c>
      <c r="G14" s="26">
        <f>+G9+G11</f>
        <v>334260</v>
      </c>
      <c r="H14" s="26">
        <v>329024</v>
      </c>
      <c r="I14" s="26">
        <v>360138</v>
      </c>
      <c r="J14" s="26">
        <v>308338</v>
      </c>
      <c r="K14" s="26">
        <v>316053</v>
      </c>
      <c r="L14" s="26">
        <v>343006.97033699998</v>
      </c>
      <c r="M14" s="26">
        <f>+M9+M11</f>
        <v>407487</v>
      </c>
      <c r="N14" s="26">
        <f>+N9+N11</f>
        <v>348359</v>
      </c>
      <c r="O14" s="26">
        <f>O9+O11</f>
        <v>315296</v>
      </c>
      <c r="P14" s="26">
        <v>310221</v>
      </c>
      <c r="Q14" s="26"/>
      <c r="R14" s="26">
        <f t="shared" si="0"/>
        <v>2901225</v>
      </c>
      <c r="S14" s="26">
        <f t="shared" si="1"/>
        <v>1331760</v>
      </c>
      <c r="T14" s="26">
        <f t="shared" si="2"/>
        <v>1414905.970337</v>
      </c>
      <c r="U14" s="26">
        <f>+SUM(O14:P14)</f>
        <v>625517</v>
      </c>
    </row>
    <row r="15" spans="2:21" x14ac:dyDescent="0.35">
      <c r="B15" s="21" t="s">
        <v>49</v>
      </c>
      <c r="C15" s="25">
        <v>-208857</v>
      </c>
      <c r="D15" s="25">
        <v>-210902</v>
      </c>
      <c r="E15" s="25">
        <v>-227242</v>
      </c>
      <c r="F15" s="25">
        <v>-256153</v>
      </c>
      <c r="G15" s="25">
        <v>-111015</v>
      </c>
      <c r="H15" s="25">
        <v>-111483</v>
      </c>
      <c r="I15" s="25">
        <v>-120919</v>
      </c>
      <c r="J15" s="25">
        <v>-128592</v>
      </c>
      <c r="K15" s="25">
        <v>-108928</v>
      </c>
      <c r="L15" s="25">
        <v>-112301</v>
      </c>
      <c r="M15" s="25">
        <v>-102875</v>
      </c>
      <c r="N15" s="25">
        <v>-106575</v>
      </c>
      <c r="O15" s="25">
        <v>-103663</v>
      </c>
      <c r="P15" s="25">
        <v>-101793</v>
      </c>
      <c r="Q15" s="25"/>
      <c r="R15" s="25">
        <f t="shared" si="0"/>
        <v>-903154</v>
      </c>
      <c r="S15" s="25">
        <f t="shared" si="1"/>
        <v>-472009</v>
      </c>
      <c r="T15" s="25">
        <f t="shared" si="2"/>
        <v>-430679</v>
      </c>
      <c r="U15" s="25">
        <f>+SUM(O15:P15)</f>
        <v>-205456</v>
      </c>
    </row>
    <row r="16" spans="2:21" x14ac:dyDescent="0.35">
      <c r="B16" s="21" t="s">
        <v>50</v>
      </c>
      <c r="C16" s="25">
        <v>-81274</v>
      </c>
      <c r="D16" s="25">
        <v>-71357</v>
      </c>
      <c r="E16" s="25">
        <v>-67325</v>
      </c>
      <c r="F16" s="25">
        <v>-83508</v>
      </c>
      <c r="G16" s="25">
        <v>-40588</v>
      </c>
      <c r="H16" s="25">
        <v>-44030</v>
      </c>
      <c r="I16" s="25">
        <v>-40472</v>
      </c>
      <c r="J16" s="25">
        <v>-40910</v>
      </c>
      <c r="K16" s="25">
        <v>-38073</v>
      </c>
      <c r="L16" s="25">
        <v>-39530</v>
      </c>
      <c r="M16" s="25">
        <v>-37232</v>
      </c>
      <c r="N16" s="25">
        <v>-37240</v>
      </c>
      <c r="O16" s="25">
        <v>-35419</v>
      </c>
      <c r="P16" s="25">
        <v>-38598</v>
      </c>
      <c r="Q16" s="25"/>
      <c r="R16" s="25">
        <f t="shared" si="0"/>
        <v>-303464</v>
      </c>
      <c r="S16" s="25">
        <f t="shared" si="1"/>
        <v>-166000</v>
      </c>
      <c r="T16" s="25">
        <f t="shared" si="2"/>
        <v>-152075</v>
      </c>
      <c r="U16" s="25">
        <f t="shared" ref="U16:U19" si="6">+SUM(O16:P16)</f>
        <v>-74017</v>
      </c>
    </row>
    <row r="17" spans="2:21" x14ac:dyDescent="0.35">
      <c r="B17" s="21" t="s">
        <v>51</v>
      </c>
      <c r="C17" s="25">
        <v>-28243</v>
      </c>
      <c r="D17" s="25">
        <v>-24853</v>
      </c>
      <c r="E17" s="25">
        <v>-22636</v>
      </c>
      <c r="F17" s="25">
        <v>-22605</v>
      </c>
      <c r="G17" s="25">
        <v>-17168</v>
      </c>
      <c r="H17" s="25">
        <v>-16717</v>
      </c>
      <c r="I17" s="25">
        <v>-17157</v>
      </c>
      <c r="J17" s="25">
        <v>-23706</v>
      </c>
      <c r="K17" s="25">
        <v>-17011</v>
      </c>
      <c r="L17" s="25">
        <v>-16715</v>
      </c>
      <c r="M17" s="25">
        <v>-15274</v>
      </c>
      <c r="N17" s="25">
        <v>-18069</v>
      </c>
      <c r="O17" s="25">
        <v>-15744</v>
      </c>
      <c r="P17" s="25">
        <v>-15498</v>
      </c>
      <c r="Q17" s="25"/>
      <c r="R17" s="25">
        <f t="shared" si="0"/>
        <v>-98337</v>
      </c>
      <c r="S17" s="25">
        <f t="shared" si="1"/>
        <v>-74748</v>
      </c>
      <c r="T17" s="25">
        <f t="shared" si="2"/>
        <v>-67069</v>
      </c>
      <c r="U17" s="25">
        <f t="shared" si="6"/>
        <v>-31242</v>
      </c>
    </row>
    <row r="18" spans="2:21" x14ac:dyDescent="0.35">
      <c r="B18" s="21" t="s">
        <v>52</v>
      </c>
      <c r="C18" s="25" t="s">
        <v>3</v>
      </c>
      <c r="D18" s="25">
        <v>-203</v>
      </c>
      <c r="E18" s="25">
        <v>10</v>
      </c>
      <c r="F18" s="25">
        <v>-11</v>
      </c>
      <c r="G18" s="25" t="s">
        <v>3</v>
      </c>
      <c r="H18" s="25">
        <v>-7336</v>
      </c>
      <c r="I18" s="25">
        <v>0</v>
      </c>
      <c r="J18" s="25">
        <v>0</v>
      </c>
      <c r="K18" s="25">
        <v>0</v>
      </c>
      <c r="L18" s="25">
        <v>-53241</v>
      </c>
      <c r="M18" s="25">
        <v>834</v>
      </c>
      <c r="N18" s="25">
        <v>-62119</v>
      </c>
      <c r="O18" s="25">
        <v>0</v>
      </c>
      <c r="P18" s="25">
        <v>0</v>
      </c>
      <c r="Q18" s="25"/>
      <c r="R18" s="25">
        <f t="shared" si="0"/>
        <v>-204</v>
      </c>
      <c r="S18" s="25">
        <f t="shared" si="1"/>
        <v>-7336</v>
      </c>
      <c r="T18" s="25">
        <f t="shared" si="2"/>
        <v>-114526</v>
      </c>
      <c r="U18" s="25">
        <f t="shared" si="6"/>
        <v>0</v>
      </c>
    </row>
    <row r="19" spans="2:21" x14ac:dyDescent="0.35">
      <c r="B19" s="21" t="s">
        <v>53</v>
      </c>
      <c r="C19" s="25">
        <v>-9008</v>
      </c>
      <c r="D19" s="25">
        <v>-19302</v>
      </c>
      <c r="E19" s="25">
        <v>38578</v>
      </c>
      <c r="F19" s="25">
        <v>34107</v>
      </c>
      <c r="G19" s="25">
        <v>22512</v>
      </c>
      <c r="H19" s="25">
        <v>0</v>
      </c>
      <c r="I19" s="25">
        <v>-153</v>
      </c>
      <c r="J19" s="25">
        <v>14690</v>
      </c>
      <c r="K19" s="25">
        <v>-2713</v>
      </c>
      <c r="L19" s="25">
        <v>2774</v>
      </c>
      <c r="M19" s="25">
        <v>2697</v>
      </c>
      <c r="N19" s="25">
        <v>8415</v>
      </c>
      <c r="O19" s="25">
        <v>-5989</v>
      </c>
      <c r="P19" s="25">
        <v>12452</v>
      </c>
      <c r="Q19" s="25"/>
      <c r="R19" s="25">
        <f t="shared" si="0"/>
        <v>44375</v>
      </c>
      <c r="S19" s="25">
        <f t="shared" si="1"/>
        <v>37049</v>
      </c>
      <c r="T19" s="25">
        <f t="shared" si="2"/>
        <v>11173</v>
      </c>
      <c r="U19" s="25">
        <f t="shared" si="6"/>
        <v>6463</v>
      </c>
    </row>
    <row r="20" spans="2:21" x14ac:dyDescent="0.35">
      <c r="B20" s="20" t="s">
        <v>54</v>
      </c>
      <c r="C20" s="26">
        <f t="shared" ref="C20:E20" si="7">+SUM(C14:C19)</f>
        <v>325666</v>
      </c>
      <c r="D20" s="26">
        <f t="shared" si="7"/>
        <v>417653</v>
      </c>
      <c r="E20" s="26">
        <f t="shared" si="7"/>
        <v>500670</v>
      </c>
      <c r="F20" s="26">
        <f>+SUM(F14:F19)</f>
        <v>396452</v>
      </c>
      <c r="G20" s="26">
        <f>+SUM(G14:G19)</f>
        <v>188001</v>
      </c>
      <c r="H20" s="26">
        <f>+SUM(H14:H19)</f>
        <v>149458</v>
      </c>
      <c r="I20" s="26">
        <v>181437</v>
      </c>
      <c r="J20" s="26">
        <v>129820</v>
      </c>
      <c r="K20" s="26">
        <v>149328</v>
      </c>
      <c r="L20" s="26">
        <v>123993.97033699998</v>
      </c>
      <c r="M20" s="26">
        <f>+M14+SUM(M15:M19)</f>
        <v>255637</v>
      </c>
      <c r="N20" s="26">
        <f>+N14+SUM(N15:N19)</f>
        <v>132771</v>
      </c>
      <c r="O20" s="26">
        <f>SUM(O14:O19)</f>
        <v>154481</v>
      </c>
      <c r="P20" s="26">
        <f>SUM(P14:P19)</f>
        <v>166784</v>
      </c>
      <c r="Q20" s="26"/>
      <c r="R20" s="26">
        <f t="shared" si="0"/>
        <v>1640441</v>
      </c>
      <c r="S20" s="26">
        <f t="shared" si="1"/>
        <v>648716</v>
      </c>
      <c r="T20" s="26">
        <f t="shared" si="2"/>
        <v>661729.97033699998</v>
      </c>
      <c r="U20" s="26">
        <f>+SUM(O20:P20)</f>
        <v>321265</v>
      </c>
    </row>
    <row r="21" spans="2:21" x14ac:dyDescent="0.35">
      <c r="B21" s="21" t="s">
        <v>55</v>
      </c>
      <c r="C21" s="25">
        <v>593519</v>
      </c>
      <c r="D21" s="25">
        <v>662454</v>
      </c>
      <c r="E21" s="25">
        <v>722291</v>
      </c>
      <c r="F21" s="25">
        <v>628485</v>
      </c>
      <c r="G21" s="25">
        <v>291252</v>
      </c>
      <c r="H21" s="25">
        <v>265402</v>
      </c>
      <c r="I21" s="25">
        <v>311473</v>
      </c>
      <c r="J21" s="25">
        <v>253293</v>
      </c>
      <c r="K21" s="25">
        <v>258477</v>
      </c>
      <c r="L21" s="25">
        <v>234577</v>
      </c>
      <c r="M21" s="18">
        <v>360955</v>
      </c>
      <c r="N21" s="18">
        <v>253690</v>
      </c>
      <c r="O21" s="18">
        <v>270261</v>
      </c>
      <c r="P21" s="18">
        <v>278940</v>
      </c>
      <c r="Q21" s="18"/>
      <c r="R21" s="25">
        <f t="shared" si="0"/>
        <v>2606749</v>
      </c>
      <c r="S21" s="25">
        <f t="shared" si="1"/>
        <v>1121420</v>
      </c>
      <c r="T21" s="25">
        <f t="shared" si="2"/>
        <v>1107699</v>
      </c>
      <c r="U21" s="25">
        <f>+SUM(O21:P21)</f>
        <v>549201</v>
      </c>
    </row>
    <row r="22" spans="2:21" x14ac:dyDescent="0.35">
      <c r="B22" s="22" t="s">
        <v>56</v>
      </c>
      <c r="C22" s="25">
        <v>125</v>
      </c>
      <c r="D22" s="25">
        <v>148</v>
      </c>
      <c r="E22" s="25">
        <v>175</v>
      </c>
      <c r="F22" s="25">
        <v>154</v>
      </c>
      <c r="G22" s="25">
        <v>74.283440708831307</v>
      </c>
      <c r="H22" s="25">
        <v>67.680293957461316</v>
      </c>
      <c r="I22" s="25">
        <v>78.234779944037811</v>
      </c>
      <c r="J22" s="25">
        <v>57.279533599263573</v>
      </c>
      <c r="K22" s="25">
        <v>61.682985674432814</v>
      </c>
      <c r="L22" s="25">
        <v>70.266232721741858</v>
      </c>
      <c r="M22" s="18">
        <v>89.279310257668087</v>
      </c>
      <c r="N22" s="18">
        <v>66.504019322870818</v>
      </c>
      <c r="O22" s="18">
        <v>73.1172106088151</v>
      </c>
      <c r="P22" s="18">
        <v>76.311474803235868</v>
      </c>
      <c r="Q22" s="18"/>
      <c r="R22" s="25">
        <f t="shared" si="0"/>
        <v>602</v>
      </c>
      <c r="S22" s="25">
        <f t="shared" si="1"/>
        <v>277.47804820959402</v>
      </c>
      <c r="T22" s="25">
        <f t="shared" si="2"/>
        <v>287.73254797671359</v>
      </c>
      <c r="U22" s="25">
        <f>+SUM(O22:P22)</f>
        <v>149.42868541205098</v>
      </c>
    </row>
    <row r="23" spans="2:21" x14ac:dyDescent="0.35">
      <c r="B23" s="22" t="s">
        <v>57</v>
      </c>
      <c r="C23" s="25">
        <v>597242</v>
      </c>
      <c r="D23" s="25">
        <v>668650</v>
      </c>
      <c r="E23" s="25">
        <v>742154</v>
      </c>
      <c r="F23" s="25">
        <v>675723</v>
      </c>
      <c r="G23" s="25">
        <v>291252</v>
      </c>
      <c r="H23" s="25">
        <v>278818.29382601799</v>
      </c>
      <c r="I23" s="25">
        <v>316542.86633680598</v>
      </c>
      <c r="J23" s="25">
        <v>309455</v>
      </c>
      <c r="K23" s="25">
        <v>258477</v>
      </c>
      <c r="L23" s="25">
        <v>295079</v>
      </c>
      <c r="M23" s="18">
        <v>374106</v>
      </c>
      <c r="N23" s="18">
        <v>347079</v>
      </c>
      <c r="O23" s="18">
        <v>270639</v>
      </c>
      <c r="P23" s="18">
        <v>279333</v>
      </c>
      <c r="Q23" s="18"/>
      <c r="R23" s="25">
        <f t="shared" si="0"/>
        <v>2683769</v>
      </c>
      <c r="S23" s="25">
        <f t="shared" si="1"/>
        <v>1196068.160162824</v>
      </c>
      <c r="T23" s="25">
        <f t="shared" si="2"/>
        <v>1274741</v>
      </c>
      <c r="U23" s="25">
        <f>+SUM(O23:P23)</f>
        <v>549972</v>
      </c>
    </row>
    <row r="24" spans="2:21" x14ac:dyDescent="0.35">
      <c r="B24" s="22" t="s">
        <v>56</v>
      </c>
      <c r="C24" s="25">
        <v>126</v>
      </c>
      <c r="D24" s="25">
        <v>150</v>
      </c>
      <c r="E24" s="25">
        <v>180</v>
      </c>
      <c r="F24" s="25">
        <v>165</v>
      </c>
      <c r="G24" s="25">
        <v>74.283440708831307</v>
      </c>
      <c r="H24" s="25">
        <v>71.102559291168689</v>
      </c>
      <c r="I24" s="25">
        <v>79.508212560045308</v>
      </c>
      <c r="J24" s="25">
        <v>70.603927585148824</v>
      </c>
      <c r="K24" s="25">
        <v>61.682985674432814</v>
      </c>
      <c r="L24" s="25">
        <v>70.266232721741858</v>
      </c>
      <c r="M24" s="46">
        <v>92.693602999999996</v>
      </c>
      <c r="N24" s="46">
        <v>89.86300558291407</v>
      </c>
      <c r="O24" s="46">
        <v>73.219475847270274</v>
      </c>
      <c r="P24" s="46">
        <v>76.418990432395091</v>
      </c>
      <c r="Q24" s="46"/>
      <c r="R24" s="25">
        <f t="shared" si="0"/>
        <v>621</v>
      </c>
      <c r="S24" s="25">
        <f t="shared" si="1"/>
        <v>295.49814014519416</v>
      </c>
      <c r="T24" s="25">
        <f t="shared" si="2"/>
        <v>314.50582697908874</v>
      </c>
      <c r="U24" s="25">
        <f>+SUM(O24:P24)</f>
        <v>149.63846627966535</v>
      </c>
    </row>
    <row r="25" spans="2:21" x14ac:dyDescent="0.35">
      <c r="B25" s="21"/>
      <c r="C25" s="25"/>
      <c r="D25" s="25"/>
      <c r="E25" s="25"/>
      <c r="F25" s="25"/>
      <c r="G25" s="25"/>
      <c r="H25" s="25"/>
      <c r="I25" s="25"/>
      <c r="J25" s="25"/>
      <c r="K25" s="25"/>
      <c r="L25" s="25"/>
      <c r="R25" s="25"/>
      <c r="S25" s="25"/>
      <c r="T25" s="25"/>
      <c r="U25" s="25"/>
    </row>
    <row r="26" spans="2:21" x14ac:dyDescent="0.35">
      <c r="B26" s="21" t="s">
        <v>58</v>
      </c>
      <c r="C26" s="25">
        <v>-176013</v>
      </c>
      <c r="D26" s="25">
        <v>-215101</v>
      </c>
      <c r="E26" s="25">
        <v>-214494</v>
      </c>
      <c r="F26" s="25">
        <v>-202551</v>
      </c>
      <c r="G26" s="25">
        <v>-94125</v>
      </c>
      <c r="H26" s="25">
        <v>-170433</v>
      </c>
      <c r="I26" s="25">
        <v>-124417</v>
      </c>
      <c r="J26" s="25">
        <v>-115168</v>
      </c>
      <c r="K26" s="25">
        <v>50</v>
      </c>
      <c r="L26" s="25">
        <v>5281</v>
      </c>
      <c r="M26" s="25">
        <v>-14182</v>
      </c>
      <c r="N26" s="25">
        <v>902</v>
      </c>
      <c r="O26" s="25">
        <v>2763</v>
      </c>
      <c r="P26" s="25">
        <v>-11400</v>
      </c>
      <c r="Q26" s="25"/>
      <c r="R26" s="25">
        <f>SUM(C26:F26)</f>
        <v>-808159</v>
      </c>
      <c r="S26" s="25">
        <f t="shared" ref="S26:S32" si="8">SUM(G26:J26)</f>
        <v>-504143</v>
      </c>
      <c r="T26" s="25">
        <f t="shared" ref="T26:T32" si="9">+SUM(K26:N26)</f>
        <v>-7949</v>
      </c>
      <c r="U26" s="25">
        <f t="shared" ref="U26:U32" si="10">+SUM(O26:P26)</f>
        <v>-8637</v>
      </c>
    </row>
    <row r="27" spans="2:21" ht="27" x14ac:dyDescent="0.35">
      <c r="B27" s="21" t="s">
        <v>143</v>
      </c>
      <c r="C27" s="25">
        <v>-14939</v>
      </c>
      <c r="D27" s="25">
        <v>-42702</v>
      </c>
      <c r="E27" s="25">
        <v>183</v>
      </c>
      <c r="F27" s="25">
        <v>7346</v>
      </c>
      <c r="G27" s="25">
        <v>-11025</v>
      </c>
      <c r="H27" s="25">
        <v>5977</v>
      </c>
      <c r="I27" s="25">
        <v>9189</v>
      </c>
      <c r="J27" s="25">
        <v>-5490</v>
      </c>
      <c r="K27" s="25">
        <v>28452</v>
      </c>
      <c r="L27" s="25">
        <v>56546</v>
      </c>
      <c r="M27" s="25">
        <v>46477</v>
      </c>
      <c r="N27" s="25">
        <v>-53408</v>
      </c>
      <c r="O27" s="25">
        <v>-28291</v>
      </c>
      <c r="P27" s="25">
        <v>24950</v>
      </c>
      <c r="Q27" s="25"/>
      <c r="R27" s="25">
        <f>SUM(C27:F27)</f>
        <v>-50112</v>
      </c>
      <c r="S27" s="25">
        <f t="shared" si="8"/>
        <v>-1349</v>
      </c>
      <c r="T27" s="25">
        <f t="shared" si="9"/>
        <v>78067</v>
      </c>
      <c r="U27" s="25">
        <f t="shared" si="10"/>
        <v>-3341</v>
      </c>
    </row>
    <row r="28" spans="2:21" ht="27" x14ac:dyDescent="0.35">
      <c r="B28" s="21" t="s">
        <v>59</v>
      </c>
      <c r="C28" s="25">
        <v>-2356</v>
      </c>
      <c r="D28" s="25">
        <v>-684</v>
      </c>
      <c r="E28" s="25">
        <v>593</v>
      </c>
      <c r="F28" s="25">
        <v>965</v>
      </c>
      <c r="G28" s="25">
        <v>-71957</v>
      </c>
      <c r="H28" s="25">
        <v>128559</v>
      </c>
      <c r="I28" s="25">
        <v>131989</v>
      </c>
      <c r="J28" s="25">
        <v>-187809</v>
      </c>
      <c r="K28" s="25">
        <v>-2017</v>
      </c>
      <c r="L28" s="25">
        <v>-2457</v>
      </c>
      <c r="M28" s="25">
        <v>12991</v>
      </c>
      <c r="N28" s="25">
        <v>-7854</v>
      </c>
      <c r="O28" s="25">
        <v>-1217</v>
      </c>
      <c r="P28" s="25">
        <v>-1028</v>
      </c>
      <c r="Q28" s="25"/>
      <c r="R28" s="44">
        <f>SUM(C28:F28)</f>
        <v>-1482</v>
      </c>
      <c r="S28" s="25">
        <f t="shared" si="8"/>
        <v>782</v>
      </c>
      <c r="T28" s="25">
        <f t="shared" si="9"/>
        <v>663</v>
      </c>
      <c r="U28" s="25">
        <f t="shared" si="10"/>
        <v>-2245</v>
      </c>
    </row>
    <row r="29" spans="2:21" x14ac:dyDescent="0.35">
      <c r="B29" s="20" t="s">
        <v>60</v>
      </c>
      <c r="C29" s="26">
        <f t="shared" ref="C29:E29" si="11">+SUM(C26:C28,C20)</f>
        <v>132358</v>
      </c>
      <c r="D29" s="26">
        <f t="shared" si="11"/>
        <v>159166</v>
      </c>
      <c r="E29" s="26">
        <f t="shared" si="11"/>
        <v>286952</v>
      </c>
      <c r="F29" s="26">
        <f>+SUM(F26:F28,F20)</f>
        <v>202212</v>
      </c>
      <c r="G29" s="26">
        <f>+SUM(G26:G28,G20)</f>
        <v>10894</v>
      </c>
      <c r="H29" s="26">
        <v>113561</v>
      </c>
      <c r="I29" s="26">
        <v>198198</v>
      </c>
      <c r="J29" s="26">
        <v>-178647</v>
      </c>
      <c r="K29" s="26">
        <v>175813</v>
      </c>
      <c r="L29" s="26">
        <v>183363.97033699998</v>
      </c>
      <c r="M29" s="23">
        <v>300923</v>
      </c>
      <c r="N29" s="23">
        <v>72411</v>
      </c>
      <c r="O29" s="23">
        <f>SUM(O20+O26+O27+O28)</f>
        <v>127736</v>
      </c>
      <c r="P29" s="23">
        <v>179306</v>
      </c>
      <c r="Q29" s="23"/>
      <c r="R29" s="45">
        <f>SUM(C29:F29)</f>
        <v>780688</v>
      </c>
      <c r="S29" s="26">
        <f t="shared" si="8"/>
        <v>144006</v>
      </c>
      <c r="T29" s="26">
        <f t="shared" si="9"/>
        <v>732510.97033699998</v>
      </c>
      <c r="U29" s="26">
        <f t="shared" si="10"/>
        <v>307042</v>
      </c>
    </row>
    <row r="30" spans="2:21" x14ac:dyDescent="0.35">
      <c r="B30" s="21" t="s">
        <v>61</v>
      </c>
      <c r="C30" s="25">
        <v>-37533</v>
      </c>
      <c r="D30" s="25">
        <v>-35570</v>
      </c>
      <c r="E30" s="25">
        <v>-57500</v>
      </c>
      <c r="F30" s="25">
        <v>-257024</v>
      </c>
      <c r="G30" s="25">
        <v>-16211</v>
      </c>
      <c r="H30" s="25">
        <v>-15577</v>
      </c>
      <c r="I30" s="25">
        <v>-20513</v>
      </c>
      <c r="J30" s="25">
        <v>4454</v>
      </c>
      <c r="K30" s="25">
        <v>-30978</v>
      </c>
      <c r="L30" s="25">
        <v>-11853</v>
      </c>
      <c r="M30" s="25">
        <v>-39697</v>
      </c>
      <c r="N30" s="25">
        <v>-44979</v>
      </c>
      <c r="O30" s="25">
        <v>-12460</v>
      </c>
      <c r="P30" s="25">
        <v>-33036</v>
      </c>
      <c r="Q30" s="25"/>
      <c r="R30" s="44">
        <f>SUM(C30:F30)</f>
        <v>-387627</v>
      </c>
      <c r="S30" s="25">
        <f t="shared" si="8"/>
        <v>-47847</v>
      </c>
      <c r="T30" s="25">
        <f t="shared" si="9"/>
        <v>-127507</v>
      </c>
      <c r="U30" s="25">
        <f t="shared" si="10"/>
        <v>-45496</v>
      </c>
    </row>
    <row r="31" spans="2:21" x14ac:dyDescent="0.35">
      <c r="B31" s="21" t="s">
        <v>155</v>
      </c>
      <c r="C31" s="25">
        <v>0</v>
      </c>
      <c r="D31" s="25">
        <v>0</v>
      </c>
      <c r="E31" s="25">
        <v>0</v>
      </c>
      <c r="F31" s="25">
        <v>0</v>
      </c>
      <c r="G31" s="25">
        <v>5335934</v>
      </c>
      <c r="H31" s="25">
        <v>0</v>
      </c>
      <c r="I31" s="25">
        <v>-40449</v>
      </c>
      <c r="J31" s="25">
        <v>193529</v>
      </c>
      <c r="K31" s="25">
        <v>1998939</v>
      </c>
      <c r="L31" s="25">
        <v>-781</v>
      </c>
      <c r="M31" s="25">
        <v>-13723</v>
      </c>
      <c r="N31" s="25">
        <v>205</v>
      </c>
      <c r="O31" s="25">
        <v>0</v>
      </c>
      <c r="P31" s="25">
        <v>-64150</v>
      </c>
      <c r="Q31" s="25"/>
      <c r="R31" s="44">
        <f>+SUM(C31:F31)</f>
        <v>0</v>
      </c>
      <c r="S31" s="25">
        <f t="shared" si="8"/>
        <v>5489014</v>
      </c>
      <c r="T31" s="25">
        <f t="shared" si="9"/>
        <v>1984640</v>
      </c>
      <c r="U31" s="25">
        <f t="shared" si="10"/>
        <v>-64150</v>
      </c>
    </row>
    <row r="32" spans="2:21" x14ac:dyDescent="0.35">
      <c r="B32" s="20" t="s">
        <v>62</v>
      </c>
      <c r="C32" s="26">
        <f t="shared" ref="C32:E32" si="12">+SUM(C29:C30)</f>
        <v>94825</v>
      </c>
      <c r="D32" s="26">
        <f t="shared" si="12"/>
        <v>123596</v>
      </c>
      <c r="E32" s="26">
        <f t="shared" si="12"/>
        <v>229452</v>
      </c>
      <c r="F32" s="26">
        <f t="shared" ref="F32" si="13">+SUM(F29:F30)</f>
        <v>-54812</v>
      </c>
      <c r="G32" s="26">
        <v>5330617</v>
      </c>
      <c r="H32" s="26">
        <v>97984</v>
      </c>
      <c r="I32" s="26">
        <v>137236</v>
      </c>
      <c r="J32" s="26">
        <v>19336</v>
      </c>
      <c r="K32" s="26">
        <v>2143774</v>
      </c>
      <c r="L32" s="26">
        <v>170730</v>
      </c>
      <c r="M32" s="71">
        <v>247503</v>
      </c>
      <c r="N32" s="71">
        <v>27637</v>
      </c>
      <c r="O32" s="71">
        <v>115276</v>
      </c>
      <c r="P32" s="71">
        <v>82120</v>
      </c>
      <c r="Q32" s="71"/>
      <c r="R32" s="45">
        <f>SUM(C32:F32)</f>
        <v>393061</v>
      </c>
      <c r="S32" s="26">
        <f t="shared" si="8"/>
        <v>5585173</v>
      </c>
      <c r="T32" s="26">
        <f t="shared" si="9"/>
        <v>2589644</v>
      </c>
      <c r="U32" s="26">
        <f t="shared" si="10"/>
        <v>197396</v>
      </c>
    </row>
    <row r="33" spans="2:21" x14ac:dyDescent="0.35">
      <c r="B33" s="21"/>
      <c r="C33" s="26"/>
      <c r="D33" s="26"/>
      <c r="E33" s="26"/>
      <c r="F33" s="26"/>
      <c r="G33" s="26"/>
      <c r="H33" s="26"/>
      <c r="I33" s="26"/>
      <c r="J33" s="26"/>
      <c r="K33" s="26"/>
      <c r="L33" s="23"/>
      <c r="R33" s="45"/>
      <c r="S33" s="26"/>
      <c r="T33" s="26"/>
      <c r="U33" s="26"/>
    </row>
    <row r="34" spans="2:21" x14ac:dyDescent="0.35">
      <c r="B34" s="20" t="s">
        <v>63</v>
      </c>
      <c r="C34" s="25"/>
      <c r="D34" s="25"/>
      <c r="E34" s="25"/>
      <c r="F34" s="25"/>
      <c r="G34" s="25"/>
      <c r="H34" s="25"/>
      <c r="I34" s="25"/>
      <c r="J34" s="25"/>
      <c r="K34" s="25"/>
      <c r="R34" s="25"/>
      <c r="S34" s="25"/>
      <c r="T34" s="25"/>
      <c r="U34" s="25"/>
    </row>
    <row r="35" spans="2:21" x14ac:dyDescent="0.35">
      <c r="B35" s="21" t="s">
        <v>64</v>
      </c>
      <c r="C35" s="25">
        <v>78426</v>
      </c>
      <c r="D35" s="25">
        <v>100735</v>
      </c>
      <c r="E35" s="25">
        <v>208426</v>
      </c>
      <c r="F35" s="25">
        <v>-67642</v>
      </c>
      <c r="G35" s="25">
        <v>5319886</v>
      </c>
      <c r="H35" s="25">
        <v>79040</v>
      </c>
      <c r="I35" s="25">
        <v>113530</v>
      </c>
      <c r="J35" s="25">
        <v>7067</v>
      </c>
      <c r="K35" s="25">
        <v>2124819</v>
      </c>
      <c r="L35" s="25">
        <v>152871</v>
      </c>
      <c r="M35" s="18">
        <v>220145</v>
      </c>
      <c r="N35" s="18">
        <v>7719</v>
      </c>
      <c r="O35" s="18">
        <v>94156</v>
      </c>
      <c r="P35" s="18">
        <v>65974</v>
      </c>
      <c r="Q35" s="18"/>
      <c r="R35" s="25">
        <f>SUM(C35:F35)</f>
        <v>319945</v>
      </c>
      <c r="S35" s="25">
        <f>SUM(G35:J35)</f>
        <v>5519523</v>
      </c>
      <c r="T35" s="25">
        <f>+SUM(K35:N35)</f>
        <v>2505554</v>
      </c>
      <c r="U35" s="25">
        <f>+SUM(O35:P35)</f>
        <v>160130</v>
      </c>
    </row>
    <row r="36" spans="2:21" x14ac:dyDescent="0.35">
      <c r="B36" s="21" t="s">
        <v>65</v>
      </c>
      <c r="C36" s="25">
        <v>16399</v>
      </c>
      <c r="D36" s="25">
        <v>22861</v>
      </c>
      <c r="E36" s="25">
        <v>21026</v>
      </c>
      <c r="F36" s="25">
        <v>12830</v>
      </c>
      <c r="G36" s="25">
        <v>10731</v>
      </c>
      <c r="H36" s="25">
        <v>18944</v>
      </c>
      <c r="I36" s="25">
        <v>23706</v>
      </c>
      <c r="J36" s="25">
        <v>12269</v>
      </c>
      <c r="K36" s="25">
        <v>18955</v>
      </c>
      <c r="L36" s="25">
        <v>17859</v>
      </c>
      <c r="M36" s="18">
        <v>27358</v>
      </c>
      <c r="N36" s="18">
        <v>19918</v>
      </c>
      <c r="O36" s="18">
        <v>21120</v>
      </c>
      <c r="P36" s="18">
        <v>16146</v>
      </c>
      <c r="Q36" s="18"/>
      <c r="R36" s="25">
        <f>SUM(C36:F36)</f>
        <v>73116</v>
      </c>
      <c r="S36" s="25">
        <f>SUM(G36:J36)</f>
        <v>65650</v>
      </c>
      <c r="T36" s="25">
        <f>+SUM(K36:N36)</f>
        <v>84090</v>
      </c>
      <c r="U36" s="25">
        <f>+SUM(O36:P36)</f>
        <v>37266</v>
      </c>
    </row>
    <row r="37" spans="2:21" x14ac:dyDescent="0.35">
      <c r="B37" s="20" t="s">
        <v>62</v>
      </c>
      <c r="C37" s="26">
        <f t="shared" ref="C37:F37" si="14">+SUM(C35:C36)</f>
        <v>94825</v>
      </c>
      <c r="D37" s="26">
        <f t="shared" si="14"/>
        <v>123596</v>
      </c>
      <c r="E37" s="26">
        <f t="shared" si="14"/>
        <v>229452</v>
      </c>
      <c r="F37" s="26">
        <f t="shared" si="14"/>
        <v>-54812</v>
      </c>
      <c r="G37" s="26">
        <v>5330617</v>
      </c>
      <c r="H37" s="26">
        <v>97984</v>
      </c>
      <c r="I37" s="26">
        <v>137236</v>
      </c>
      <c r="J37" s="26">
        <v>19336</v>
      </c>
      <c r="K37" s="26">
        <v>2143774</v>
      </c>
      <c r="L37" s="26">
        <v>170730</v>
      </c>
      <c r="M37" s="26">
        <v>247503</v>
      </c>
      <c r="N37" s="26">
        <v>27637</v>
      </c>
      <c r="O37" s="26">
        <f>+O35+O36</f>
        <v>115276</v>
      </c>
      <c r="P37" s="26">
        <f>+SUM(P35:P36)</f>
        <v>82120</v>
      </c>
      <c r="Q37" s="26"/>
      <c r="R37" s="26">
        <f>SUM(C37:F37)</f>
        <v>393061</v>
      </c>
      <c r="S37" s="26">
        <f>SUM(G37:J37)</f>
        <v>5585173</v>
      </c>
      <c r="T37" s="26">
        <f>+SUM(K37:N37)</f>
        <v>2589644</v>
      </c>
      <c r="U37" s="26">
        <f>+SUM(O37:P37)</f>
        <v>197396</v>
      </c>
    </row>
    <row r="38" spans="2:21" x14ac:dyDescent="0.35">
      <c r="B38" s="22" t="s">
        <v>44</v>
      </c>
      <c r="C38" s="27">
        <v>16</v>
      </c>
      <c r="D38" s="27">
        <v>22</v>
      </c>
      <c r="E38" s="27">
        <v>49</v>
      </c>
      <c r="F38" s="27">
        <v>-14</v>
      </c>
      <c r="G38" s="27">
        <v>1356.8299488372329</v>
      </c>
      <c r="H38" s="27">
        <v>20.060719597645175</v>
      </c>
      <c r="I38" s="27">
        <v>28.516097918749338</v>
      </c>
      <c r="J38" s="27">
        <v>28.516097918749338</v>
      </c>
      <c r="K38" s="27">
        <v>507.06708890060878</v>
      </c>
      <c r="L38" s="27">
        <v>35.857715996392983</v>
      </c>
      <c r="M38" s="27">
        <v>61.950845908180469</v>
      </c>
      <c r="N38" s="27">
        <v>34.124349194818024</v>
      </c>
      <c r="O38" s="27">
        <v>31.187110127401919</v>
      </c>
      <c r="P38" s="27">
        <v>22.465842114314643</v>
      </c>
      <c r="Q38" s="27"/>
      <c r="R38" s="44">
        <f>SUM(C38:F38)</f>
        <v>73</v>
      </c>
      <c r="S38" s="25">
        <f>SUM(G38:J38)</f>
        <v>1433.922864272377</v>
      </c>
      <c r="T38" s="25">
        <f>+SUM(K38:N38)</f>
        <v>639.00000000000023</v>
      </c>
      <c r="U38" s="25">
        <f>+SUM(O38:P38)</f>
        <v>53.652952241716562</v>
      </c>
    </row>
    <row r="39" spans="2:21" x14ac:dyDescent="0.35">
      <c r="B39" s="20" t="s">
        <v>66</v>
      </c>
      <c r="C39" s="26">
        <v>118274</v>
      </c>
      <c r="D39" s="26">
        <v>112067</v>
      </c>
      <c r="E39" s="26">
        <v>228865</v>
      </c>
      <c r="F39" s="26">
        <v>209040</v>
      </c>
      <c r="G39" s="26">
        <v>55126.981208169898</v>
      </c>
      <c r="H39" s="26">
        <v>127152.475504018</v>
      </c>
      <c r="I39" s="26">
        <v>156518.24420861001</v>
      </c>
      <c r="J39" s="26">
        <v>19416.243691780001</v>
      </c>
      <c r="K39" s="26">
        <v>136696.61386336014</v>
      </c>
      <c r="L39" s="26">
        <v>244570.68622100001</v>
      </c>
      <c r="M39" s="31">
        <v>278202.77550913213</v>
      </c>
      <c r="N39" s="31">
        <v>138477.56335828998</v>
      </c>
      <c r="O39" s="31">
        <v>120117.7472041818</v>
      </c>
      <c r="P39" s="31">
        <v>153955</v>
      </c>
      <c r="Q39" s="31"/>
      <c r="R39" s="26">
        <f>SUM(C39:F39)</f>
        <v>668246</v>
      </c>
      <c r="S39" s="26">
        <f>SUM(G39:J39)</f>
        <v>358213.94461257791</v>
      </c>
      <c r="T39" s="26">
        <f>+SUM(K39:N39)</f>
        <v>797947.63895178225</v>
      </c>
      <c r="U39" s="26">
        <f>+SUM(O39:P39)</f>
        <v>274072.7472041818</v>
      </c>
    </row>
    <row r="40" spans="2:21" x14ac:dyDescent="0.35">
      <c r="R40" s="35">
        <f t="shared" ref="R40:S40" si="15">+R39/R9</f>
        <v>5.2546030637684205E-2</v>
      </c>
      <c r="S40" s="35">
        <f t="shared" si="15"/>
        <v>6.7596706914122479E-2</v>
      </c>
      <c r="T40" s="35">
        <f>+T39/T9</f>
        <v>0.15477053153059878</v>
      </c>
      <c r="U40" s="35">
        <f>+U39/U9</f>
        <v>0.10805205749216309</v>
      </c>
    </row>
    <row r="43" spans="2:21" x14ac:dyDescent="0.35">
      <c r="M43" s="23"/>
      <c r="N43" s="23"/>
      <c r="O43" s="23"/>
      <c r="P43" s="23"/>
      <c r="Q43" s="23"/>
    </row>
    <row r="44" spans="2:21" x14ac:dyDescent="0.35">
      <c r="C44" s="23"/>
      <c r="L44" s="23"/>
      <c r="M44" s="23"/>
      <c r="N44" s="23"/>
      <c r="O44" s="18"/>
      <c r="P44" s="18"/>
      <c r="Q44" s="18"/>
    </row>
    <row r="45" spans="2:21" x14ac:dyDescent="0.35">
      <c r="C45" s="23"/>
      <c r="L45" s="23"/>
      <c r="M45" s="23"/>
      <c r="N45" s="23"/>
      <c r="O45" s="75"/>
      <c r="P45" s="75"/>
      <c r="Q45" s="75"/>
    </row>
    <row r="48" spans="2:21" x14ac:dyDescent="0.35">
      <c r="M48" s="23"/>
      <c r="N48" s="23"/>
      <c r="O48" s="23"/>
      <c r="P48" s="23"/>
      <c r="Q48" s="23"/>
    </row>
    <row r="49" spans="13:17" x14ac:dyDescent="0.35">
      <c r="M49" s="23"/>
      <c r="N49" s="23"/>
      <c r="O49" s="23"/>
      <c r="P49" s="23"/>
      <c r="Q49" s="23"/>
    </row>
    <row r="50" spans="13:17" x14ac:dyDescent="0.35">
      <c r="M50" s="18"/>
      <c r="N50" s="18"/>
      <c r="O50" s="18"/>
      <c r="P50" s="18"/>
      <c r="Q50" s="18"/>
    </row>
    <row r="52" spans="13:17" x14ac:dyDescent="0.35">
      <c r="M52" s="18"/>
      <c r="N52" s="18"/>
      <c r="O52" s="18"/>
      <c r="P52" s="18"/>
      <c r="Q52" s="18"/>
    </row>
    <row r="53" spans="13:17" x14ac:dyDescent="0.35">
      <c r="M53" s="18"/>
      <c r="N53" s="18"/>
      <c r="O53" s="18"/>
      <c r="P53" s="18"/>
      <c r="Q53" s="18"/>
    </row>
    <row r="54" spans="13:17" x14ac:dyDescent="0.35">
      <c r="M54" s="66"/>
      <c r="N54" s="66"/>
      <c r="O54" s="66"/>
      <c r="P54" s="66"/>
      <c r="Q54" s="66"/>
    </row>
  </sheetData>
  <mergeCells count="4">
    <mergeCell ref="B1:B3"/>
    <mergeCell ref="C5:E5"/>
    <mergeCell ref="R5:S5"/>
    <mergeCell ref="C6:F6"/>
  </mergeCells>
  <phoneticPr fontId="17" type="noConversion"/>
  <pageMargins left="0.7" right="0.7" top="0.75" bottom="0.75" header="0.3" footer="0.3"/>
  <pageSetup orientation="portrait" verticalDpi="597" r:id="rId1"/>
  <ignoredErrors>
    <ignoredError sqref="H20 R9:T30 R32:T39 S31:T31 U10:U40" formulaRange="1"/>
    <ignoredError sqref="R31" formula="1"/>
  </ignoredError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3B9C3-6FD5-47B4-9532-775150D463CE}">
  <dimension ref="B1:W40"/>
  <sheetViews>
    <sheetView showGridLines="0" zoomScale="23" zoomScaleNormal="85" workbookViewId="0">
      <pane xSplit="2" ySplit="7" topLeftCell="C8" activePane="bottomRight" state="frozen"/>
      <selection pane="topRight" activeCell="B1" sqref="B1"/>
      <selection pane="bottomLeft" activeCell="A7" sqref="A7"/>
      <selection pane="bottomRight" activeCell="V42" sqref="V42"/>
    </sheetView>
  </sheetViews>
  <sheetFormatPr baseColWidth="10" defaultRowHeight="13.5" x14ac:dyDescent="0.35"/>
  <cols>
    <col min="1" max="1" width="4.08984375" style="1" customWidth="1"/>
    <col min="2" max="2" width="51.54296875" style="1" customWidth="1"/>
    <col min="3" max="5" width="13.7265625" style="63" bestFit="1" customWidth="1"/>
    <col min="6" max="9" width="13.7265625" style="63" customWidth="1"/>
    <col min="10" max="10" width="10.90625" style="4"/>
    <col min="11" max="11" width="12.7265625" style="4" customWidth="1"/>
    <col min="12" max="12" width="13.81640625" style="4" bestFit="1" customWidth="1"/>
    <col min="13" max="13" width="4.08984375" style="4" customWidth="1"/>
    <col min="14" max="14" width="13.81640625" style="1" bestFit="1" customWidth="1"/>
    <col min="15" max="15" width="13.08984375" style="1" bestFit="1" customWidth="1"/>
    <col min="16" max="16" width="13.81640625" style="1" bestFit="1" customWidth="1"/>
    <col min="17" max="17" width="14.7265625" style="1" customWidth="1"/>
    <col min="18" max="18" width="13.1796875" style="1" bestFit="1" customWidth="1"/>
    <col min="19" max="22" width="10.90625" style="1"/>
    <col min="23" max="23" width="13.1796875" style="1" customWidth="1"/>
    <col min="24" max="16384" width="10.90625" style="1"/>
  </cols>
  <sheetData>
    <row r="1" spans="2:23" s="49" customFormat="1" x14ac:dyDescent="0.35">
      <c r="B1" s="84" t="s">
        <v>114</v>
      </c>
      <c r="C1" s="59"/>
      <c r="D1" s="59"/>
      <c r="E1" s="59"/>
      <c r="F1" s="59"/>
      <c r="G1" s="59"/>
      <c r="H1" s="59"/>
      <c r="I1" s="59"/>
      <c r="J1" s="60"/>
      <c r="K1" s="60"/>
      <c r="L1" s="60"/>
      <c r="M1" s="60"/>
    </row>
    <row r="2" spans="2:23" s="49" customFormat="1" x14ac:dyDescent="0.35">
      <c r="B2" s="84"/>
      <c r="C2" s="61"/>
      <c r="D2" s="59"/>
      <c r="E2" s="59"/>
      <c r="F2" s="59"/>
      <c r="G2" s="59"/>
      <c r="H2" s="59"/>
      <c r="I2" s="59"/>
      <c r="J2" s="60"/>
      <c r="K2" s="60"/>
      <c r="L2" s="60"/>
      <c r="M2" s="60"/>
    </row>
    <row r="3" spans="2:23" s="49" customFormat="1" x14ac:dyDescent="0.35">
      <c r="B3" s="84"/>
      <c r="C3" s="60"/>
      <c r="D3" s="59"/>
      <c r="E3" s="59"/>
      <c r="F3" s="59"/>
      <c r="G3" s="59"/>
      <c r="H3" s="59"/>
      <c r="I3" s="59"/>
      <c r="J3" s="60"/>
      <c r="K3" s="60"/>
      <c r="L3" s="60"/>
      <c r="M3" s="60"/>
    </row>
    <row r="4" spans="2:23" x14ac:dyDescent="0.35">
      <c r="C4" s="62"/>
    </row>
    <row r="5" spans="2:23" s="6" customFormat="1" x14ac:dyDescent="0.35">
      <c r="B5" s="1" t="s">
        <v>67</v>
      </c>
      <c r="C5" s="87" t="s">
        <v>147</v>
      </c>
      <c r="D5" s="87"/>
      <c r="E5" s="87"/>
      <c r="F5" s="89"/>
      <c r="G5" s="87" t="s">
        <v>146</v>
      </c>
      <c r="H5" s="90" t="s">
        <v>147</v>
      </c>
      <c r="I5" s="91"/>
      <c r="J5" s="91"/>
      <c r="K5" s="92"/>
      <c r="L5" s="88" t="s">
        <v>146</v>
      </c>
      <c r="M5" s="76"/>
      <c r="N5" s="87" t="s">
        <v>147</v>
      </c>
      <c r="O5" s="87"/>
      <c r="P5" s="87"/>
      <c r="Q5" s="87"/>
      <c r="R5" s="88" t="s">
        <v>152</v>
      </c>
      <c r="S5" s="87" t="s">
        <v>147</v>
      </c>
      <c r="T5" s="87"/>
      <c r="U5" s="87"/>
      <c r="V5" s="87"/>
      <c r="W5" s="88" t="s">
        <v>152</v>
      </c>
    </row>
    <row r="6" spans="2:23" s="6" customFormat="1" x14ac:dyDescent="0.35">
      <c r="B6" s="12"/>
      <c r="C6" s="87"/>
      <c r="D6" s="87"/>
      <c r="E6" s="87"/>
      <c r="F6" s="89"/>
      <c r="G6" s="87"/>
      <c r="H6" s="90"/>
      <c r="I6" s="91"/>
      <c r="J6" s="91"/>
      <c r="K6" s="92"/>
      <c r="L6" s="88"/>
      <c r="M6" s="76"/>
      <c r="N6" s="87"/>
      <c r="O6" s="87"/>
      <c r="P6" s="87"/>
      <c r="Q6" s="87"/>
      <c r="R6" s="88"/>
      <c r="S6" s="87"/>
      <c r="T6" s="87"/>
      <c r="U6" s="87"/>
      <c r="V6" s="87"/>
      <c r="W6" s="88"/>
    </row>
    <row r="7" spans="2:23" s="5" customFormat="1" x14ac:dyDescent="0.35">
      <c r="C7" s="33" t="s">
        <v>8</v>
      </c>
      <c r="D7" s="33" t="s">
        <v>9</v>
      </c>
      <c r="E7" s="33" t="s">
        <v>11</v>
      </c>
      <c r="F7" s="33" t="s">
        <v>10</v>
      </c>
      <c r="G7" s="69">
        <v>2023</v>
      </c>
      <c r="H7" s="33" t="s">
        <v>17</v>
      </c>
      <c r="I7" s="33" t="s">
        <v>19</v>
      </c>
      <c r="J7" s="33" t="s">
        <v>20</v>
      </c>
      <c r="K7" s="33" t="s">
        <v>117</v>
      </c>
      <c r="L7" s="69">
        <v>2024</v>
      </c>
      <c r="M7" s="77"/>
      <c r="N7" s="33" t="s">
        <v>118</v>
      </c>
      <c r="O7" s="5" t="s">
        <v>148</v>
      </c>
      <c r="P7" s="5" t="s">
        <v>150</v>
      </c>
      <c r="Q7" s="5" t="s">
        <v>151</v>
      </c>
      <c r="R7" s="5">
        <v>2025</v>
      </c>
      <c r="S7" s="5" t="s">
        <v>157</v>
      </c>
      <c r="T7" s="5" t="s">
        <v>160</v>
      </c>
      <c r="U7" s="5" t="s">
        <v>158</v>
      </c>
      <c r="V7" s="5" t="s">
        <v>159</v>
      </c>
      <c r="W7" s="5">
        <v>2026</v>
      </c>
    </row>
    <row r="8" spans="2:23" s="6" customFormat="1" x14ac:dyDescent="0.35">
      <c r="B8" s="6" t="s">
        <v>68</v>
      </c>
      <c r="C8" s="64">
        <v>94.825000000000003</v>
      </c>
      <c r="D8" s="64">
        <v>123.596</v>
      </c>
      <c r="E8" s="64">
        <v>229.452</v>
      </c>
      <c r="F8" s="64">
        <v>-54.811999999999998</v>
      </c>
      <c r="G8" s="64">
        <f>+SUM(C8:F8)</f>
        <v>393.06099999999998</v>
      </c>
      <c r="H8" s="64">
        <v>5330.6170000000002</v>
      </c>
      <c r="I8" s="64">
        <v>97.983999999999469</v>
      </c>
      <c r="J8" s="64">
        <v>137.23600000000079</v>
      </c>
      <c r="K8" s="64">
        <v>19.335999999999331</v>
      </c>
      <c r="L8" s="64">
        <f>+SUM(H8:K8)</f>
        <v>5585.1729999999998</v>
      </c>
      <c r="M8" s="64"/>
      <c r="N8" s="64">
        <v>2143.7739999999999</v>
      </c>
      <c r="O8" s="64">
        <v>170.72900000000027</v>
      </c>
      <c r="P8" s="64">
        <v>247.5029999999997</v>
      </c>
      <c r="Q8" s="64">
        <v>27.637000000000171</v>
      </c>
      <c r="R8" s="64">
        <f>+SUM(N8:Q8)</f>
        <v>2589.643</v>
      </c>
      <c r="S8" s="64">
        <v>115.276</v>
      </c>
      <c r="T8" s="64">
        <v>82.11999999999999</v>
      </c>
      <c r="W8" s="64">
        <f>+SUM(S8:V8)</f>
        <v>197.39599999999999</v>
      </c>
    </row>
    <row r="9" spans="2:23" x14ac:dyDescent="0.35">
      <c r="B9" s="9" t="s">
        <v>69</v>
      </c>
      <c r="C9" s="65">
        <v>19.725083139999999</v>
      </c>
      <c r="D9" s="65">
        <v>4.9333836189999998</v>
      </c>
      <c r="E9" s="65">
        <v>0.57708019000000055</v>
      </c>
      <c r="F9" s="65">
        <v>216.61341347999999</v>
      </c>
      <c r="G9" s="65">
        <f t="shared" ref="G9:G11" si="0">+SUM(C9:F9)</f>
        <v>241.84896042899999</v>
      </c>
      <c r="H9" s="65">
        <v>-6.3322865239999997</v>
      </c>
      <c r="I9" s="65">
        <v>33.034630823000001</v>
      </c>
      <c r="J9" s="65">
        <v>-1.6917544400000013</v>
      </c>
      <c r="K9" s="65">
        <v>19.546949394000006</v>
      </c>
      <c r="L9" s="65">
        <f t="shared" ref="L9:L11" si="1">+SUM(H9:K9)</f>
        <v>44.557539253000002</v>
      </c>
      <c r="M9" s="65"/>
      <c r="N9" s="65">
        <v>-8.1386443600000007</v>
      </c>
      <c r="O9" s="65">
        <v>12.558196306000001</v>
      </c>
      <c r="P9" s="65">
        <v>3.8254693710000005</v>
      </c>
      <c r="Q9" s="65">
        <v>17.655690463999996</v>
      </c>
      <c r="R9" s="65">
        <f t="shared" ref="R9:R11" si="2">+SUM(N9:Q9)</f>
        <v>25.900711780999998</v>
      </c>
      <c r="S9" s="65">
        <v>0.58244216400000004</v>
      </c>
      <c r="T9" s="65">
        <v>3.4122292859999996</v>
      </c>
      <c r="W9" s="65">
        <f t="shared" ref="W9:W11" si="3">+SUM(S9:V9)</f>
        <v>3.9946714499999998</v>
      </c>
    </row>
    <row r="10" spans="2:23" x14ac:dyDescent="0.35">
      <c r="B10" s="9" t="s">
        <v>70</v>
      </c>
      <c r="C10" s="65">
        <v>0</v>
      </c>
      <c r="D10" s="65">
        <v>0</v>
      </c>
      <c r="E10" s="65">
        <v>0</v>
      </c>
      <c r="F10" s="65">
        <v>0</v>
      </c>
      <c r="G10" s="65">
        <f t="shared" si="0"/>
        <v>0</v>
      </c>
      <c r="H10" s="65">
        <v>-5335.9341473969998</v>
      </c>
      <c r="I10" s="65">
        <v>0</v>
      </c>
      <c r="J10" s="65">
        <v>40.449086036999688</v>
      </c>
      <c r="K10" s="65">
        <v>-193.52869671299959</v>
      </c>
      <c r="L10" s="65">
        <f t="shared" si="1"/>
        <v>-5489.0137580729997</v>
      </c>
      <c r="M10" s="65"/>
      <c r="N10" s="65">
        <v>-1999.4834233176398</v>
      </c>
      <c r="O10" s="65">
        <v>0.32733338763978281</v>
      </c>
      <c r="P10" s="65">
        <v>13.124726315000089</v>
      </c>
      <c r="Q10" s="65">
        <v>-0.20771947600019303</v>
      </c>
      <c r="R10" s="65">
        <f t="shared" si="2"/>
        <v>-1986.2390830910001</v>
      </c>
      <c r="S10" s="65">
        <v>0</v>
      </c>
      <c r="T10" s="65">
        <v>0</v>
      </c>
      <c r="W10" s="65">
        <f t="shared" si="3"/>
        <v>0</v>
      </c>
    </row>
    <row r="11" spans="2:23" x14ac:dyDescent="0.35">
      <c r="B11" s="9" t="s">
        <v>144</v>
      </c>
      <c r="C11" s="65">
        <v>3.7234841216307006</v>
      </c>
      <c r="D11" s="65">
        <v>6.3987985678112995</v>
      </c>
      <c r="E11" s="65">
        <v>19.862257798659311</v>
      </c>
      <c r="F11" s="65">
        <v>47.238154835174093</v>
      </c>
      <c r="G11" s="65">
        <f t="shared" si="0"/>
        <v>77.222695323275403</v>
      </c>
      <c r="H11" s="65">
        <v>72.000404581470008</v>
      </c>
      <c r="I11" s="65">
        <v>8.1927614857179378</v>
      </c>
      <c r="J11" s="65">
        <v>33.010622962463628</v>
      </c>
      <c r="K11" s="65">
        <v>56.161991010402204</v>
      </c>
      <c r="L11" s="65">
        <f t="shared" si="1"/>
        <v>169.36578004005378</v>
      </c>
      <c r="M11" s="65"/>
      <c r="N11" s="65">
        <v>0.54468154099999999</v>
      </c>
      <c r="O11" s="65">
        <v>60.955670618999797</v>
      </c>
      <c r="P11" s="65">
        <v>13.749770508132137</v>
      </c>
      <c r="Q11" s="65">
        <v>93.391947813158041</v>
      </c>
      <c r="R11" s="65">
        <f t="shared" si="2"/>
        <v>168.64207048128998</v>
      </c>
      <c r="S11" s="65">
        <v>4.2581567601817989</v>
      </c>
      <c r="T11" s="65">
        <v>68.42287576055466</v>
      </c>
      <c r="W11" s="65">
        <f t="shared" si="3"/>
        <v>72.681032520736466</v>
      </c>
    </row>
    <row r="12" spans="2:23" x14ac:dyDescent="0.35">
      <c r="B12" s="9"/>
      <c r="C12" s="65"/>
      <c r="D12" s="65"/>
      <c r="E12" s="65"/>
      <c r="F12" s="65"/>
      <c r="G12" s="65"/>
      <c r="H12" s="65"/>
      <c r="I12" s="65"/>
      <c r="J12" s="65"/>
      <c r="K12" s="65"/>
      <c r="L12" s="65"/>
      <c r="M12" s="65"/>
      <c r="N12" s="32"/>
      <c r="O12" s="32"/>
      <c r="P12" s="32"/>
      <c r="Q12" s="32"/>
      <c r="R12" s="65"/>
      <c r="S12" s="65"/>
      <c r="T12" s="65"/>
      <c r="W12" s="65"/>
    </row>
    <row r="13" spans="2:23" s="6" customFormat="1" x14ac:dyDescent="0.35">
      <c r="B13" s="6" t="s">
        <v>71</v>
      </c>
      <c r="C13" s="64">
        <v>118.2735672616307</v>
      </c>
      <c r="D13" s="64">
        <v>134.92818218681128</v>
      </c>
      <c r="E13" s="64">
        <v>249.89133798865933</v>
      </c>
      <c r="F13" s="64">
        <v>209.03956831517408</v>
      </c>
      <c r="G13" s="64">
        <f t="shared" ref="G13:G29" si="4">+SUM(C13:F13)</f>
        <v>712.13265575227535</v>
      </c>
      <c r="H13" s="64">
        <v>60.350970660470608</v>
      </c>
      <c r="I13" s="64">
        <v>139.21139230871745</v>
      </c>
      <c r="J13" s="64">
        <v>209.00395455946384</v>
      </c>
      <c r="K13" s="64">
        <v>-98.483756308598117</v>
      </c>
      <c r="L13" s="64">
        <f t="shared" ref="L13:L30" si="5">+SUM(H13:K13)</f>
        <v>310.08256122005378</v>
      </c>
      <c r="M13" s="64"/>
      <c r="N13" s="64">
        <v>136.69661386336014</v>
      </c>
      <c r="O13" s="64">
        <v>244.57020031263977</v>
      </c>
      <c r="P13" s="64">
        <v>278.20296619413193</v>
      </c>
      <c r="Q13" s="64">
        <v>138.47691880115815</v>
      </c>
      <c r="R13" s="64">
        <f t="shared" ref="R13:R30" si="6">+SUM(N13:Q13)</f>
        <v>797.94669917128999</v>
      </c>
      <c r="S13" s="64">
        <f>+SUM(S8:S11)</f>
        <v>120.1165989241818</v>
      </c>
      <c r="T13" s="64">
        <f>+SUM(T8:T11)</f>
        <v>153.95510504655465</v>
      </c>
      <c r="W13" s="64">
        <f t="shared" ref="W13:W30" si="7">+SUM(S13:V13)</f>
        <v>274.07170397073645</v>
      </c>
    </row>
    <row r="14" spans="2:23" x14ac:dyDescent="0.35">
      <c r="B14" s="9" t="s">
        <v>72</v>
      </c>
      <c r="C14" s="65">
        <v>17.807916860000002</v>
      </c>
      <c r="D14" s="65">
        <v>30.636616380999996</v>
      </c>
      <c r="E14" s="65">
        <v>56.922919810000025</v>
      </c>
      <c r="F14" s="65">
        <v>40.41058652000001</v>
      </c>
      <c r="G14" s="65">
        <f t="shared" si="4"/>
        <v>145.77803957100002</v>
      </c>
      <c r="H14" s="65">
        <v>22.543286523999999</v>
      </c>
      <c r="I14" s="65">
        <v>-17.457630822999999</v>
      </c>
      <c r="J14" s="65">
        <v>22.204754439999999</v>
      </c>
      <c r="K14" s="65">
        <v>-24.000949393999999</v>
      </c>
      <c r="L14" s="65">
        <f t="shared" si="5"/>
        <v>3.2894607469999997</v>
      </c>
      <c r="M14" s="65"/>
      <c r="N14" s="65">
        <v>39.116644360000002</v>
      </c>
      <c r="O14" s="65">
        <v>-0.70519630599999772</v>
      </c>
      <c r="P14" s="65">
        <v>35.871530629000006</v>
      </c>
      <c r="Q14" s="65">
        <v>27.323309535999996</v>
      </c>
      <c r="R14" s="65">
        <f t="shared" si="6"/>
        <v>101.60628821900001</v>
      </c>
      <c r="S14" s="65">
        <v>11.877557836000001</v>
      </c>
      <c r="T14" s="65">
        <v>29.623770714000003</v>
      </c>
      <c r="U14" s="6"/>
      <c r="V14" s="6"/>
      <c r="W14" s="65">
        <f t="shared" si="7"/>
        <v>41.501328550000004</v>
      </c>
    </row>
    <row r="15" spans="2:23" x14ac:dyDescent="0.35">
      <c r="B15" s="9" t="s">
        <v>73</v>
      </c>
      <c r="C15" s="65">
        <v>193.30799999999999</v>
      </c>
      <c r="D15" s="65">
        <v>258.48700000000002</v>
      </c>
      <c r="E15" s="65">
        <v>213.71799999999999</v>
      </c>
      <c r="F15" s="65">
        <v>194.24</v>
      </c>
      <c r="G15" s="65">
        <f t="shared" si="4"/>
        <v>859.75300000000004</v>
      </c>
      <c r="H15" s="65">
        <v>105.10659541852999</v>
      </c>
      <c r="I15" s="65">
        <v>41.120989452300051</v>
      </c>
      <c r="J15" s="65">
        <v>-44.701824839153019</v>
      </c>
      <c r="K15" s="65">
        <v>308.46706821349539</v>
      </c>
      <c r="L15" s="65">
        <f t="shared" si="5"/>
        <v>409.9928282451724</v>
      </c>
      <c r="M15" s="65"/>
      <c r="N15" s="65">
        <v>-26.484999999999999</v>
      </c>
      <c r="O15" s="65">
        <v>-59.370000000000005</v>
      </c>
      <c r="P15" s="65">
        <v>-45.285999999999987</v>
      </c>
      <c r="Q15" s="65">
        <v>60.359999999999985</v>
      </c>
      <c r="R15" s="65">
        <f t="shared" si="6"/>
        <v>-70.781000000000006</v>
      </c>
      <c r="S15" s="65">
        <v>26.745000000000001</v>
      </c>
      <c r="T15" s="65">
        <v>-12.522</v>
      </c>
      <c r="W15" s="65">
        <f t="shared" si="7"/>
        <v>14.223000000000001</v>
      </c>
    </row>
    <row r="16" spans="2:23" s="6" customFormat="1" x14ac:dyDescent="0.35">
      <c r="B16" s="6" t="s">
        <v>149</v>
      </c>
      <c r="C16" s="64">
        <v>329.38948412163069</v>
      </c>
      <c r="D16" s="64">
        <v>424.05179856781126</v>
      </c>
      <c r="E16" s="64">
        <v>520.53225779865943</v>
      </c>
      <c r="F16" s="64">
        <v>443.6901548351741</v>
      </c>
      <c r="G16" s="64">
        <f t="shared" si="4"/>
        <v>1717.6636953232755</v>
      </c>
      <c r="H16" s="64">
        <v>188.0008526030006</v>
      </c>
      <c r="I16" s="64">
        <v>162.87475093801751</v>
      </c>
      <c r="J16" s="64">
        <v>186.50688416031082</v>
      </c>
      <c r="K16" s="64">
        <v>185.98236251089722</v>
      </c>
      <c r="L16" s="64">
        <f t="shared" si="5"/>
        <v>723.3648502122262</v>
      </c>
      <c r="M16" s="64"/>
      <c r="N16" s="64">
        <v>149.32825822336014</v>
      </c>
      <c r="O16" s="64">
        <v>184.49500400663976</v>
      </c>
      <c r="P16" s="64">
        <v>268.78849682313199</v>
      </c>
      <c r="Q16" s="64">
        <v>226.16022833715806</v>
      </c>
      <c r="R16" s="64">
        <f t="shared" si="6"/>
        <v>828.77198739028995</v>
      </c>
      <c r="S16" s="64">
        <f>+S13+S14+S15</f>
        <v>158.7391567601818</v>
      </c>
      <c r="T16" s="64">
        <f>+T13+T14+T15</f>
        <v>171.05687576055465</v>
      </c>
      <c r="U16" s="1"/>
      <c r="V16" s="1"/>
      <c r="W16" s="64">
        <f t="shared" si="7"/>
        <v>329.79603252073645</v>
      </c>
    </row>
    <row r="17" spans="2:23" x14ac:dyDescent="0.35">
      <c r="B17" s="9" t="s">
        <v>4</v>
      </c>
      <c r="C17" s="65">
        <v>267.85300000000001</v>
      </c>
      <c r="D17" s="65">
        <v>244.59800000000001</v>
      </c>
      <c r="E17" s="65">
        <v>221.631</v>
      </c>
      <c r="F17" s="65">
        <v>232.226</v>
      </c>
      <c r="G17" s="65">
        <f t="shared" si="4"/>
        <v>966.30799999999999</v>
      </c>
      <c r="H17" s="65">
        <v>103.251</v>
      </c>
      <c r="I17" s="65">
        <v>115.94399999999999</v>
      </c>
      <c r="J17" s="65">
        <v>130.036</v>
      </c>
      <c r="K17" s="65">
        <v>123.47300000000001</v>
      </c>
      <c r="L17" s="65">
        <f t="shared" si="5"/>
        <v>472.70400000000001</v>
      </c>
      <c r="M17" s="65"/>
      <c r="N17" s="65">
        <v>109.149</v>
      </c>
      <c r="O17" s="65">
        <v>110.583</v>
      </c>
      <c r="P17" s="65">
        <v>105.31800000000001</v>
      </c>
      <c r="Q17" s="65">
        <v>120.92000000000002</v>
      </c>
      <c r="R17" s="65">
        <f t="shared" si="6"/>
        <v>445.97</v>
      </c>
      <c r="S17" s="65">
        <v>111.900237511</v>
      </c>
      <c r="T17" s="65">
        <v>108.27523754699999</v>
      </c>
      <c r="U17" s="6"/>
      <c r="V17" s="6"/>
      <c r="W17" s="65">
        <f t="shared" si="7"/>
        <v>220.17547505799999</v>
      </c>
    </row>
    <row r="18" spans="2:23" s="6" customFormat="1" x14ac:dyDescent="0.35">
      <c r="B18" s="6" t="s">
        <v>74</v>
      </c>
      <c r="C18" s="64">
        <v>597.2424841216307</v>
      </c>
      <c r="D18" s="64">
        <v>668.64979856781122</v>
      </c>
      <c r="E18" s="64">
        <v>742.1632577986594</v>
      </c>
      <c r="F18" s="64">
        <v>675.9161548351741</v>
      </c>
      <c r="G18" s="64">
        <f t="shared" si="4"/>
        <v>2683.9716953232751</v>
      </c>
      <c r="H18" s="64">
        <v>291.2518526030006</v>
      </c>
      <c r="I18" s="64">
        <v>278.81875093801744</v>
      </c>
      <c r="J18" s="64">
        <v>316.54288416031085</v>
      </c>
      <c r="K18" s="64">
        <v>309.45536251089715</v>
      </c>
      <c r="L18" s="64">
        <f t="shared" si="5"/>
        <v>1196.0688502122262</v>
      </c>
      <c r="M18" s="64"/>
      <c r="N18" s="64">
        <v>258.47725822336014</v>
      </c>
      <c r="O18" s="64">
        <v>295.07800400663979</v>
      </c>
      <c r="P18" s="64">
        <v>374.10649682313192</v>
      </c>
      <c r="Q18" s="64">
        <v>347.08022833715813</v>
      </c>
      <c r="R18" s="64">
        <f t="shared" si="6"/>
        <v>1274.74198739029</v>
      </c>
      <c r="S18" s="64">
        <f>+S16+S17</f>
        <v>270.6393942711818</v>
      </c>
      <c r="T18" s="64">
        <f>+T16+T17</f>
        <v>279.33211330755466</v>
      </c>
      <c r="U18" s="1"/>
      <c r="V18" s="1"/>
      <c r="W18" s="64">
        <f t="shared" si="7"/>
        <v>549.97150757873646</v>
      </c>
    </row>
    <row r="19" spans="2:23" x14ac:dyDescent="0.35">
      <c r="B19" s="9" t="s">
        <v>75</v>
      </c>
      <c r="C19" s="65">
        <v>-327.44400000000002</v>
      </c>
      <c r="D19" s="65">
        <v>12.91</v>
      </c>
      <c r="E19" s="65">
        <v>18.241</v>
      </c>
      <c r="F19" s="65">
        <v>149.74600000000001</v>
      </c>
      <c r="G19" s="65">
        <f t="shared" si="4"/>
        <v>-146.547</v>
      </c>
      <c r="H19" s="65">
        <v>-129.08099999999999</v>
      </c>
      <c r="I19" s="65">
        <v>59.072999999999993</v>
      </c>
      <c r="J19" s="65">
        <v>122.96299999999999</v>
      </c>
      <c r="K19" s="65">
        <v>-74.164999999999992</v>
      </c>
      <c r="L19" s="65">
        <f t="shared" si="5"/>
        <v>-21.209999999999994</v>
      </c>
      <c r="M19" s="65"/>
      <c r="N19" s="65">
        <v>-43.930473750169995</v>
      </c>
      <c r="O19" s="65">
        <v>46.904751917009996</v>
      </c>
      <c r="P19" s="65">
        <v>-47.727395691840002</v>
      </c>
      <c r="Q19" s="65">
        <v>63.4630370494</v>
      </c>
      <c r="R19" s="65">
        <f t="shared" si="6"/>
        <v>18.7099195244</v>
      </c>
      <c r="S19" s="65">
        <v>7.6122608999999994E-2</v>
      </c>
      <c r="T19" s="65">
        <v>-16.051896087999999</v>
      </c>
      <c r="U19" s="6"/>
      <c r="V19" s="6"/>
      <c r="W19" s="65">
        <f t="shared" si="7"/>
        <v>-15.975773478999999</v>
      </c>
    </row>
    <row r="20" spans="2:23" x14ac:dyDescent="0.35">
      <c r="B20" s="9" t="s">
        <v>76</v>
      </c>
      <c r="C20" s="65">
        <v>-110.80353973504259</v>
      </c>
      <c r="D20" s="65">
        <v>-111.73559452408993</v>
      </c>
      <c r="E20" s="65">
        <v>-111.24501458511173</v>
      </c>
      <c r="F20" s="65">
        <v>-182.58391500098497</v>
      </c>
      <c r="G20" s="65">
        <f t="shared" si="4"/>
        <v>-516.36806384522924</v>
      </c>
      <c r="H20" s="65">
        <v>-27.910396248534585</v>
      </c>
      <c r="I20" s="65">
        <v>-55.870467886375337</v>
      </c>
      <c r="J20" s="65">
        <v>-71.831924878311284</v>
      </c>
      <c r="K20" s="65">
        <v>-83.57549295808262</v>
      </c>
      <c r="L20" s="65">
        <f t="shared" si="5"/>
        <v>-239.18828197130381</v>
      </c>
      <c r="M20" s="65"/>
      <c r="N20" s="65">
        <v>-33.34850992183442</v>
      </c>
      <c r="O20" s="65">
        <v>-50.417901663531438</v>
      </c>
      <c r="P20" s="65">
        <v>-68.275981923761947</v>
      </c>
      <c r="Q20" s="65">
        <v>-59.37824038479198</v>
      </c>
      <c r="R20" s="65">
        <f t="shared" si="6"/>
        <v>-211.42063389391978</v>
      </c>
      <c r="S20" s="65">
        <v>-49.431811628615463</v>
      </c>
      <c r="T20" s="65">
        <v>-53.712419140615296</v>
      </c>
      <c r="W20" s="65">
        <f t="shared" si="7"/>
        <v>-103.14423076923076</v>
      </c>
    </row>
    <row r="21" spans="2:23" x14ac:dyDescent="0.35">
      <c r="B21" s="9" t="s">
        <v>77</v>
      </c>
      <c r="C21" s="65">
        <v>-79.341999999999999</v>
      </c>
      <c r="D21" s="65">
        <v>-106.498</v>
      </c>
      <c r="E21" s="65">
        <v>-57.652999999999999</v>
      </c>
      <c r="F21" s="65">
        <v>-40.64</v>
      </c>
      <c r="G21" s="65">
        <f t="shared" si="4"/>
        <v>-284.13299999999998</v>
      </c>
      <c r="H21" s="65">
        <v>-91.424999999999997</v>
      </c>
      <c r="I21" s="65">
        <v>-90.00500000000001</v>
      </c>
      <c r="J21" s="65">
        <v>69.76100000000001</v>
      </c>
      <c r="K21" s="65">
        <v>-41.49669894316601</v>
      </c>
      <c r="L21" s="65">
        <f t="shared" si="5"/>
        <v>-153.16569894316601</v>
      </c>
      <c r="M21" s="65"/>
      <c r="N21" s="65">
        <v>-44.612000000000002</v>
      </c>
      <c r="O21" s="65">
        <v>-93.591000000000008</v>
      </c>
      <c r="P21" s="65">
        <v>61.313000000000002</v>
      </c>
      <c r="Q21" s="65">
        <v>-60.73899999999999</v>
      </c>
      <c r="R21" s="65">
        <f t="shared" si="6"/>
        <v>-137.62899999999999</v>
      </c>
      <c r="S21" s="65">
        <v>-39.338999999999999</v>
      </c>
      <c r="T21" s="65">
        <v>-200.97499999999999</v>
      </c>
      <c r="W21" s="65">
        <f t="shared" si="7"/>
        <v>-240.31399999999999</v>
      </c>
    </row>
    <row r="22" spans="2:23" s="6" customFormat="1" x14ac:dyDescent="0.35">
      <c r="B22" s="6" t="s">
        <v>78</v>
      </c>
      <c r="C22" s="64">
        <v>79.652944386588061</v>
      </c>
      <c r="D22" s="64">
        <v>463.3262040437213</v>
      </c>
      <c r="E22" s="64">
        <v>591.50624321354758</v>
      </c>
      <c r="F22" s="64">
        <v>602.43823983418918</v>
      </c>
      <c r="G22" s="64">
        <f t="shared" si="4"/>
        <v>1736.923631478046</v>
      </c>
      <c r="H22" s="64">
        <v>42.835456354466018</v>
      </c>
      <c r="I22" s="64">
        <v>192.01628305164212</v>
      </c>
      <c r="J22" s="64">
        <v>437.43495928199962</v>
      </c>
      <c r="K22" s="64">
        <v>110.21817060964851</v>
      </c>
      <c r="L22" s="64">
        <f t="shared" si="5"/>
        <v>782.50486929775627</v>
      </c>
      <c r="M22" s="64"/>
      <c r="N22" s="64">
        <v>136.58627455135573</v>
      </c>
      <c r="O22" s="64">
        <v>197.97385426011837</v>
      </c>
      <c r="P22" s="64">
        <v>319.41611920752996</v>
      </c>
      <c r="Q22" s="64">
        <v>290.42602500176611</v>
      </c>
      <c r="R22" s="64">
        <f>+SUM(N22:Q22)</f>
        <v>944.40227302077017</v>
      </c>
      <c r="S22" s="64">
        <f>+S18+S19+S20+S21</f>
        <v>181.94470525156632</v>
      </c>
      <c r="T22" s="64">
        <f>+T18+T19+T20+T21</f>
        <v>8.5927980789394098</v>
      </c>
      <c r="U22" s="1"/>
      <c r="V22" s="1"/>
      <c r="W22" s="64">
        <f>+SUM(S22:V22)</f>
        <v>190.53750333050573</v>
      </c>
    </row>
    <row r="23" spans="2:23" x14ac:dyDescent="0.35">
      <c r="B23" s="9" t="s">
        <v>79</v>
      </c>
      <c r="C23" s="65">
        <v>-192.32</v>
      </c>
      <c r="D23" s="65">
        <v>-180.90900000000005</v>
      </c>
      <c r="E23" s="65">
        <v>-267.32600000000008</v>
      </c>
      <c r="F23" s="65">
        <v>-147.78899999999987</v>
      </c>
      <c r="G23" s="65">
        <f t="shared" si="4"/>
        <v>-788.34399999999994</v>
      </c>
      <c r="H23" s="65">
        <v>-134.21899999999999</v>
      </c>
      <c r="I23" s="65">
        <v>-91.554000000000002</v>
      </c>
      <c r="J23" s="65">
        <v>-109.66600000000003</v>
      </c>
      <c r="K23" s="65">
        <v>-91.315999999999946</v>
      </c>
      <c r="L23" s="65">
        <f t="shared" si="5"/>
        <v>-426.755</v>
      </c>
      <c r="M23" s="65"/>
      <c r="N23" s="65">
        <v>-12.407999999999999</v>
      </c>
      <c r="O23" s="65">
        <v>56.286000000000001</v>
      </c>
      <c r="P23" s="65">
        <v>31.153000000000006</v>
      </c>
      <c r="Q23" s="65">
        <v>27.416999999999987</v>
      </c>
      <c r="R23" s="65">
        <f t="shared" si="6"/>
        <v>102.44799999999999</v>
      </c>
      <c r="S23" s="65">
        <v>18.225999999999999</v>
      </c>
      <c r="T23" s="65">
        <v>-81.817000000000007</v>
      </c>
      <c r="U23" s="6"/>
      <c r="V23" s="6"/>
      <c r="W23" s="65">
        <f t="shared" si="7"/>
        <v>-63.591000000000008</v>
      </c>
    </row>
    <row r="24" spans="2:23" s="6" customFormat="1" x14ac:dyDescent="0.35">
      <c r="B24" s="6" t="s">
        <v>80</v>
      </c>
      <c r="C24" s="64">
        <v>-112.66705561341195</v>
      </c>
      <c r="D24" s="64">
        <v>282.41720404372126</v>
      </c>
      <c r="E24" s="64">
        <v>324.18024321354756</v>
      </c>
      <c r="F24" s="64">
        <v>454.6492398341893</v>
      </c>
      <c r="G24" s="64">
        <f t="shared" si="4"/>
        <v>948.57963147804617</v>
      </c>
      <c r="H24" s="64">
        <v>-91.383543645533976</v>
      </c>
      <c r="I24" s="64">
        <v>100.46228305164213</v>
      </c>
      <c r="J24" s="64">
        <v>327.76895928199957</v>
      </c>
      <c r="K24" s="64">
        <v>18.90217060964855</v>
      </c>
      <c r="L24" s="64">
        <f t="shared" si="5"/>
        <v>355.74986929775628</v>
      </c>
      <c r="M24" s="64"/>
      <c r="N24" s="64">
        <v>124.17827455135573</v>
      </c>
      <c r="O24" s="64">
        <v>254.25985426011835</v>
      </c>
      <c r="P24" s="64">
        <v>350.56911920752992</v>
      </c>
      <c r="Q24" s="64">
        <v>317.84302500176614</v>
      </c>
      <c r="R24" s="64">
        <f t="shared" si="6"/>
        <v>1046.8502730207701</v>
      </c>
      <c r="S24" s="64">
        <f>+S22+S23</f>
        <v>200.17070525156632</v>
      </c>
      <c r="T24" s="64">
        <f>+T22+T23</f>
        <v>-73.224201921060597</v>
      </c>
      <c r="U24" s="1"/>
      <c r="V24" s="1"/>
      <c r="W24" s="64">
        <f t="shared" si="7"/>
        <v>126.94650333050572</v>
      </c>
    </row>
    <row r="25" spans="2:23" x14ac:dyDescent="0.35">
      <c r="B25" s="9" t="s">
        <v>145</v>
      </c>
      <c r="C25" s="65">
        <v>-4.1234841216307005</v>
      </c>
      <c r="D25" s="65">
        <v>-6.4677985678112977</v>
      </c>
      <c r="E25" s="65">
        <v>-19.420257798659311</v>
      </c>
      <c r="F25" s="65">
        <v>-47.985154835174093</v>
      </c>
      <c r="G25" s="65">
        <f t="shared" si="4"/>
        <v>-77.996695323275404</v>
      </c>
      <c r="H25" s="65">
        <v>4424.5845240411818</v>
      </c>
      <c r="I25" s="65">
        <v>11.767257424082345</v>
      </c>
      <c r="J25" s="65">
        <v>-129.05273760604177</v>
      </c>
      <c r="K25" s="65">
        <v>102.15212099097698</v>
      </c>
      <c r="L25" s="65">
        <f t="shared" si="5"/>
        <v>4409.4511648501993</v>
      </c>
      <c r="M25" s="65"/>
      <c r="N25" s="65">
        <v>11696.197</v>
      </c>
      <c r="O25" s="65">
        <v>-15.235000000000582</v>
      </c>
      <c r="P25" s="65">
        <v>-11.923999999999069</v>
      </c>
      <c r="Q25" s="65">
        <v>-2</v>
      </c>
      <c r="R25" s="65">
        <f t="shared" si="6"/>
        <v>11667.038</v>
      </c>
      <c r="S25" s="65">
        <v>-2.2000000000000002</v>
      </c>
      <c r="T25" s="65">
        <v>-0.82499999999999973</v>
      </c>
      <c r="U25" s="6"/>
      <c r="V25" s="6"/>
      <c r="W25" s="65">
        <f t="shared" si="7"/>
        <v>-3.0249999999999999</v>
      </c>
    </row>
    <row r="26" spans="2:23" x14ac:dyDescent="0.35">
      <c r="B26" s="9" t="s">
        <v>156</v>
      </c>
      <c r="C26" s="65">
        <v>171.952</v>
      </c>
      <c r="D26" s="65">
        <v>-258.30099999999999</v>
      </c>
      <c r="E26" s="65">
        <v>113.64899999999997</v>
      </c>
      <c r="F26" s="65">
        <v>-219.98299999999992</v>
      </c>
      <c r="G26" s="65">
        <f t="shared" si="4"/>
        <v>-192.68299999999994</v>
      </c>
      <c r="H26" s="65">
        <v>-2663.4460087842099</v>
      </c>
      <c r="I26" s="65">
        <v>174.29547638092799</v>
      </c>
      <c r="J26" s="65">
        <v>-757.30168740776389</v>
      </c>
      <c r="K26" s="65">
        <v>-931.53140751821365</v>
      </c>
      <c r="L26" s="65">
        <f t="shared" si="5"/>
        <v>-4177.9836273292594</v>
      </c>
      <c r="M26" s="65"/>
      <c r="N26" s="65">
        <v>-470.28800000000001</v>
      </c>
      <c r="O26" s="65">
        <v>-39.637999999999977</v>
      </c>
      <c r="P26" s="65">
        <v>-21.526999999999987</v>
      </c>
      <c r="Q26" s="65">
        <v>-428.98099999999999</v>
      </c>
      <c r="R26" s="65">
        <f t="shared" si="6"/>
        <v>-960.43399999999997</v>
      </c>
      <c r="S26" s="65">
        <v>-22.738</v>
      </c>
      <c r="T26" s="65">
        <v>-30.292000000000002</v>
      </c>
      <c r="W26" s="65">
        <f t="shared" si="7"/>
        <v>-53.03</v>
      </c>
    </row>
    <row r="27" spans="2:23" s="6" customFormat="1" x14ac:dyDescent="0.35">
      <c r="B27" s="6" t="s">
        <v>81</v>
      </c>
      <c r="C27" s="64">
        <v>55.161460264957363</v>
      </c>
      <c r="D27" s="64">
        <v>17.648405475909939</v>
      </c>
      <c r="E27" s="64">
        <v>418.40898541488826</v>
      </c>
      <c r="F27" s="64">
        <v>186.6810849990153</v>
      </c>
      <c r="G27" s="64">
        <f t="shared" si="4"/>
        <v>677.8999361547709</v>
      </c>
      <c r="H27" s="64">
        <v>1669.7549716114381</v>
      </c>
      <c r="I27" s="64">
        <v>286.5250168566522</v>
      </c>
      <c r="J27" s="64">
        <v>-558.58546573180593</v>
      </c>
      <c r="K27" s="64">
        <v>-810.47711591758843</v>
      </c>
      <c r="L27" s="64">
        <f t="shared" si="5"/>
        <v>587.21740681869596</v>
      </c>
      <c r="M27" s="64"/>
      <c r="N27" s="64">
        <v>11350.087274551355</v>
      </c>
      <c r="O27" s="64">
        <v>199.38685426011943</v>
      </c>
      <c r="P27" s="64">
        <v>317.11811920753098</v>
      </c>
      <c r="Q27" s="64">
        <v>-113.13797499823522</v>
      </c>
      <c r="R27" s="64">
        <f t="shared" si="6"/>
        <v>11753.45427302077</v>
      </c>
      <c r="S27" s="64">
        <f>+S24+S25+S26</f>
        <v>175.23270525156633</v>
      </c>
      <c r="T27" s="64">
        <f>+T24+T25+T26</f>
        <v>-104.3412019210606</v>
      </c>
      <c r="U27" s="1"/>
      <c r="V27" s="1"/>
      <c r="W27" s="64">
        <f t="shared" si="7"/>
        <v>70.891503330505728</v>
      </c>
    </row>
    <row r="28" spans="2:23" x14ac:dyDescent="0.35">
      <c r="B28" s="9" t="s">
        <v>82</v>
      </c>
      <c r="C28" s="65">
        <v>-64.21746026495741</v>
      </c>
      <c r="D28" s="65">
        <v>-134.76341548328386</v>
      </c>
      <c r="E28" s="65">
        <v>-84.867975407514493</v>
      </c>
      <c r="F28" s="65">
        <v>-54.208084999014972</v>
      </c>
      <c r="G28" s="65">
        <f t="shared" si="4"/>
        <v>-338.05693615477071</v>
      </c>
      <c r="H28" s="65">
        <v>-20.875603751465416</v>
      </c>
      <c r="I28" s="65">
        <v>-38.471532113624662</v>
      </c>
      <c r="J28" s="65">
        <v>-31.625075121688727</v>
      </c>
      <c r="K28" s="65">
        <v>-22.2465070419174</v>
      </c>
      <c r="L28" s="65">
        <f t="shared" si="5"/>
        <v>-113.2187180286962</v>
      </c>
      <c r="M28" s="65"/>
      <c r="N28" s="65">
        <v>-26.242490078165577</v>
      </c>
      <c r="O28" s="65">
        <v>-14.314098336468572</v>
      </c>
      <c r="P28" s="65">
        <v>-4.6560180762380625</v>
      </c>
      <c r="Q28" s="65">
        <v>-51.721759615207993</v>
      </c>
      <c r="R28" s="65">
        <f t="shared" si="6"/>
        <v>-96.934366106080205</v>
      </c>
      <c r="S28" s="65">
        <v>-23.843188371384532</v>
      </c>
      <c r="T28" s="65">
        <v>-30.762580859384695</v>
      </c>
      <c r="U28" s="6"/>
      <c r="V28" s="6"/>
      <c r="W28" s="65">
        <f t="shared" si="7"/>
        <v>-54.605769230769226</v>
      </c>
    </row>
    <row r="29" spans="2:23" x14ac:dyDescent="0.35">
      <c r="B29" s="9" t="s">
        <v>154</v>
      </c>
      <c r="C29" s="65">
        <v>-95.117000000000004</v>
      </c>
      <c r="D29" s="65">
        <v>-200.8</v>
      </c>
      <c r="E29" s="65">
        <v>-92.736000000000004</v>
      </c>
      <c r="F29" s="65">
        <v>-203.42699999999999</v>
      </c>
      <c r="G29" s="65">
        <f t="shared" si="4"/>
        <v>-592.08000000000004</v>
      </c>
      <c r="H29" s="65">
        <v>7.3170000000000002</v>
      </c>
      <c r="I29" s="65">
        <v>-152.57500000000002</v>
      </c>
      <c r="J29" s="65">
        <v>-102.589</v>
      </c>
      <c r="K29" s="65">
        <v>-169.46799999999999</v>
      </c>
      <c r="L29" s="65">
        <f t="shared" si="5"/>
        <v>-417.315</v>
      </c>
      <c r="M29" s="65"/>
      <c r="N29" s="65">
        <v>-243.99099999999999</v>
      </c>
      <c r="O29" s="65">
        <v>-469.08199999999999</v>
      </c>
      <c r="P29" s="65">
        <v>-170.40599999999995</v>
      </c>
      <c r="Q29" s="65">
        <v>-1424.8840000000005</v>
      </c>
      <c r="R29" s="65">
        <f t="shared" si="6"/>
        <v>-2308.3630000000003</v>
      </c>
      <c r="S29" s="65">
        <v>-56.516999999999996</v>
      </c>
      <c r="T29" s="65">
        <v>-369.73099999999999</v>
      </c>
      <c r="W29" s="65">
        <f t="shared" si="7"/>
        <v>-426.24799999999999</v>
      </c>
    </row>
    <row r="30" spans="2:23" s="6" customFormat="1" x14ac:dyDescent="0.35">
      <c r="B30" s="6" t="s">
        <v>83</v>
      </c>
      <c r="C30" s="64">
        <v>-104.17300000000004</v>
      </c>
      <c r="D30" s="64">
        <v>-317.91501000737395</v>
      </c>
      <c r="E30" s="64">
        <v>240.80501000737377</v>
      </c>
      <c r="F30" s="64">
        <v>-70.953999999999681</v>
      </c>
      <c r="G30" s="64">
        <f>+SUM(C30:F30)</f>
        <v>-252.23699999999991</v>
      </c>
      <c r="H30" s="64">
        <v>1656.1963678599727</v>
      </c>
      <c r="I30" s="64">
        <v>95.478484743027593</v>
      </c>
      <c r="J30" s="64">
        <v>-692.79954085349482</v>
      </c>
      <c r="K30" s="64">
        <v>-1002.1916229595058</v>
      </c>
      <c r="L30" s="64">
        <f t="shared" si="5"/>
        <v>56.683688789999678</v>
      </c>
      <c r="M30" s="64"/>
      <c r="N30" s="64">
        <v>11079.853784473189</v>
      </c>
      <c r="O30" s="64">
        <v>-284.0092440763492</v>
      </c>
      <c r="P30" s="64">
        <v>142.05610113129478</v>
      </c>
      <c r="Q30" s="64">
        <v>-1589.7437346134448</v>
      </c>
      <c r="R30" s="64">
        <f t="shared" si="6"/>
        <v>9348.1569069146899</v>
      </c>
      <c r="S30" s="64">
        <f>+S27+S28+S29</f>
        <v>94.872516880181792</v>
      </c>
      <c r="T30" s="64">
        <f>+T27+T28+T29</f>
        <v>-504.83478278044527</v>
      </c>
      <c r="U30" s="1"/>
      <c r="V30" s="1"/>
      <c r="W30" s="64">
        <f t="shared" si="7"/>
        <v>-409.96226590026345</v>
      </c>
    </row>
    <row r="31" spans="2:23" x14ac:dyDescent="0.35">
      <c r="B31" s="1" t="s">
        <v>153</v>
      </c>
      <c r="N31" s="65">
        <v>173.11247375016995</v>
      </c>
      <c r="O31" s="65">
        <v>-423.19475191700997</v>
      </c>
      <c r="P31" s="65">
        <v>-470.52560430815998</v>
      </c>
      <c r="Q31" s="65">
        <v>-445.82703704940013</v>
      </c>
      <c r="R31" s="65">
        <f>+SUM(N31:Q31)</f>
        <v>-1166.4349195244001</v>
      </c>
      <c r="S31" s="65">
        <v>-439.70588579031056</v>
      </c>
      <c r="T31" s="65">
        <v>-337.10000519423471</v>
      </c>
      <c r="U31" s="6"/>
      <c r="V31" s="6"/>
      <c r="W31" s="65">
        <f>+SUM(S31:V31)</f>
        <v>-776.80589098454527</v>
      </c>
    </row>
    <row r="32" spans="2:23" s="6" customFormat="1" x14ac:dyDescent="0.35">
      <c r="B32" s="9" t="s">
        <v>84</v>
      </c>
      <c r="C32" s="65">
        <v>1260.8910000000001</v>
      </c>
      <c r="D32" s="65">
        <v>1156.7180000000001</v>
      </c>
      <c r="E32" s="65">
        <v>838.80298999262607</v>
      </c>
      <c r="F32" s="65">
        <v>1079.6079999999997</v>
      </c>
      <c r="G32" s="65">
        <f>+C32</f>
        <v>1260.8910000000001</v>
      </c>
      <c r="H32" s="65">
        <v>1008.527</v>
      </c>
      <c r="I32" s="65">
        <v>2664.7233678599728</v>
      </c>
      <c r="J32" s="65">
        <v>2760.2018526030006</v>
      </c>
      <c r="K32" s="65">
        <v>2067.4023117495058</v>
      </c>
      <c r="L32" s="65">
        <f>+H32</f>
        <v>1008.527</v>
      </c>
      <c r="M32" s="65"/>
      <c r="N32" s="65">
        <v>1065.075</v>
      </c>
      <c r="O32" s="65">
        <v>12318.04125822336</v>
      </c>
      <c r="P32" s="65">
        <v>11610.837262230001</v>
      </c>
      <c r="Q32" s="65">
        <v>11282.367759053135</v>
      </c>
      <c r="R32" s="65">
        <f>+N32</f>
        <v>1065.075</v>
      </c>
      <c r="S32" s="65">
        <f>+R33</f>
        <v>9246.7969873902894</v>
      </c>
      <c r="T32" s="65">
        <f>+S33</f>
        <v>8901.9636184801602</v>
      </c>
      <c r="U32" s="1"/>
      <c r="V32" s="1"/>
      <c r="W32" s="65">
        <f>+S32</f>
        <v>9246.7969873902894</v>
      </c>
    </row>
    <row r="33" spans="2:23" x14ac:dyDescent="0.35">
      <c r="B33" s="6" t="s">
        <v>85</v>
      </c>
      <c r="C33" s="64">
        <v>1156.7180000000001</v>
      </c>
      <c r="D33" s="64">
        <v>838.80298999262607</v>
      </c>
      <c r="E33" s="64">
        <v>1079.6079999999997</v>
      </c>
      <c r="F33" s="64">
        <v>1008.6540000000001</v>
      </c>
      <c r="G33" s="64">
        <f>+G32+G30</f>
        <v>1008.6540000000002</v>
      </c>
      <c r="H33" s="64">
        <v>2664.7233678599728</v>
      </c>
      <c r="I33" s="64">
        <v>2760.2018526030006</v>
      </c>
      <c r="J33" s="64">
        <v>2067.4023117495058</v>
      </c>
      <c r="K33" s="64">
        <v>1065.2106887899999</v>
      </c>
      <c r="L33" s="64">
        <f>+L32+L30</f>
        <v>1065.2106887899997</v>
      </c>
      <c r="M33" s="64"/>
      <c r="N33" s="64">
        <f>+N30+N31+N32</f>
        <v>12318.04125822336</v>
      </c>
      <c r="O33" s="64">
        <v>11610.837262230001</v>
      </c>
      <c r="P33" s="64">
        <v>11282.367759053135</v>
      </c>
      <c r="Q33" s="64">
        <v>9246.7969873902912</v>
      </c>
      <c r="R33" s="64">
        <f>+R30+R31+R32</f>
        <v>9246.7969873902894</v>
      </c>
      <c r="S33" s="64">
        <f>+S30+S31+S32</f>
        <v>8901.9636184801602</v>
      </c>
      <c r="T33" s="64">
        <f>+T30+T31+T32</f>
        <v>8060.0288305054801</v>
      </c>
      <c r="U33" s="6"/>
      <c r="V33" s="6"/>
      <c r="W33" s="64">
        <f>+W30+W31+W32</f>
        <v>8060.0288305054801</v>
      </c>
    </row>
    <row r="34" spans="2:23" x14ac:dyDescent="0.35">
      <c r="K34" s="5"/>
      <c r="L34" s="33"/>
      <c r="M34" s="33"/>
      <c r="O34" s="23"/>
    </row>
    <row r="36" spans="2:23" x14ac:dyDescent="0.35">
      <c r="C36" s="74"/>
      <c r="D36" s="74"/>
      <c r="E36" s="74"/>
      <c r="F36" s="74"/>
      <c r="G36" s="74"/>
      <c r="H36" s="74"/>
      <c r="I36" s="74"/>
      <c r="J36" s="74"/>
      <c r="K36" s="74"/>
      <c r="L36" s="74"/>
      <c r="M36" s="74"/>
      <c r="N36" s="74"/>
      <c r="O36" s="74"/>
      <c r="P36" s="74"/>
      <c r="Q36" s="74"/>
      <c r="R36" s="74"/>
    </row>
    <row r="39" spans="2:23" x14ac:dyDescent="0.35">
      <c r="L39" s="63"/>
      <c r="M39" s="63"/>
      <c r="R39" s="63"/>
    </row>
    <row r="40" spans="2:23" x14ac:dyDescent="0.35">
      <c r="G40" s="70"/>
      <c r="L40" s="70"/>
      <c r="M40" s="70"/>
      <c r="R40" s="70"/>
    </row>
  </sheetData>
  <mergeCells count="9">
    <mergeCell ref="S5:V6"/>
    <mergeCell ref="W5:W6"/>
    <mergeCell ref="R5:R6"/>
    <mergeCell ref="B1:B3"/>
    <mergeCell ref="N5:Q6"/>
    <mergeCell ref="C5:F6"/>
    <mergeCell ref="G5:G6"/>
    <mergeCell ref="H5:K6"/>
    <mergeCell ref="L5:L6"/>
  </mergeCell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77C36-29BD-4574-A0DD-090267ECD79F}">
  <dimension ref="B1:X85"/>
  <sheetViews>
    <sheetView showGridLines="0" zoomScale="82" zoomScaleNormal="80" workbookViewId="0">
      <pane xSplit="2" ySplit="13" topLeftCell="L62" activePane="bottomRight" state="frozen"/>
      <selection pane="topRight" activeCell="C1" sqref="C1"/>
      <selection pane="bottomLeft" activeCell="A14" sqref="A14"/>
      <selection pane="bottomRight" activeCell="V37" sqref="V37"/>
    </sheetView>
  </sheetViews>
  <sheetFormatPr baseColWidth="10" defaultRowHeight="13.5" x14ac:dyDescent="0.35"/>
  <cols>
    <col min="1" max="1" width="4.453125" style="1" customWidth="1"/>
    <col min="2" max="2" width="29.08984375" style="1" customWidth="1"/>
    <col min="3" max="3" width="24.1796875" style="1" bestFit="1" customWidth="1"/>
    <col min="4" max="4" width="13.7265625" style="1" bestFit="1" customWidth="1"/>
    <col min="5" max="11" width="10.90625" style="1"/>
    <col min="12" max="12" width="12.90625" style="1" customWidth="1"/>
    <col min="13" max="18" width="14.54296875" style="1" customWidth="1"/>
    <col min="19" max="19" width="13.7265625" style="1" bestFit="1" customWidth="1"/>
    <col min="20" max="16384" width="10.90625" style="1"/>
  </cols>
  <sheetData>
    <row r="1" spans="2:22" s="49" customFormat="1" x14ac:dyDescent="0.35">
      <c r="B1" s="83" t="s">
        <v>110</v>
      </c>
    </row>
    <row r="2" spans="2:22" s="49" customFormat="1" x14ac:dyDescent="0.35">
      <c r="B2" s="84"/>
    </row>
    <row r="3" spans="2:22" s="49" customFormat="1" x14ac:dyDescent="0.35">
      <c r="B3" s="84"/>
    </row>
    <row r="9" spans="2:22" x14ac:dyDescent="0.35">
      <c r="B9" s="28"/>
    </row>
    <row r="10" spans="2:22" s="51" customFormat="1" x14ac:dyDescent="0.35">
      <c r="B10" s="95" t="s">
        <v>162</v>
      </c>
      <c r="C10" s="95"/>
    </row>
    <row r="11" spans="2:22" x14ac:dyDescent="0.35">
      <c r="B11" s="93" t="s">
        <v>86</v>
      </c>
      <c r="C11" s="93" t="s">
        <v>87</v>
      </c>
      <c r="D11" s="3"/>
      <c r="E11" s="3"/>
      <c r="F11" s="3"/>
      <c r="G11" s="3"/>
      <c r="H11" s="3"/>
    </row>
    <row r="12" spans="2:22" x14ac:dyDescent="0.35">
      <c r="B12" s="93"/>
      <c r="C12" s="93"/>
      <c r="D12" s="86" t="s">
        <v>18</v>
      </c>
      <c r="E12" s="86"/>
      <c r="F12" s="86"/>
      <c r="G12" s="86"/>
      <c r="H12" s="11"/>
      <c r="M12" s="66"/>
      <c r="N12" s="66"/>
      <c r="O12" s="66"/>
      <c r="P12" s="66"/>
      <c r="Q12" s="66"/>
      <c r="R12" s="66"/>
      <c r="S12" s="85" t="s">
        <v>119</v>
      </c>
      <c r="T12" s="85"/>
      <c r="U12" s="85"/>
    </row>
    <row r="13" spans="2:22" s="5" customFormat="1" x14ac:dyDescent="0.35">
      <c r="B13" s="93"/>
      <c r="C13" s="93"/>
      <c r="D13" s="5" t="s">
        <v>8</v>
      </c>
      <c r="E13" s="30" t="s">
        <v>9</v>
      </c>
      <c r="F13" s="30" t="s">
        <v>11</v>
      </c>
      <c r="G13" s="30" t="s">
        <v>10</v>
      </c>
      <c r="H13" s="30" t="s">
        <v>17</v>
      </c>
      <c r="I13" s="5" t="s">
        <v>19</v>
      </c>
      <c r="J13" s="5" t="s">
        <v>20</v>
      </c>
      <c r="K13" s="5" t="s">
        <v>117</v>
      </c>
      <c r="L13" s="30" t="s">
        <v>118</v>
      </c>
      <c r="M13" s="30" t="s">
        <v>148</v>
      </c>
      <c r="N13" s="30" t="s">
        <v>150</v>
      </c>
      <c r="O13" s="30" t="s">
        <v>151</v>
      </c>
      <c r="P13" s="30" t="s">
        <v>157</v>
      </c>
      <c r="Q13" s="30" t="s">
        <v>160</v>
      </c>
      <c r="R13" s="30"/>
      <c r="S13" s="5">
        <v>2023</v>
      </c>
      <c r="T13" s="5">
        <v>2024</v>
      </c>
      <c r="U13" s="5">
        <v>2025</v>
      </c>
      <c r="V13" s="5">
        <v>2026</v>
      </c>
    </row>
    <row r="14" spans="2:22" x14ac:dyDescent="0.35">
      <c r="B14" s="1" t="s">
        <v>88</v>
      </c>
      <c r="C14" s="2" t="s">
        <v>89</v>
      </c>
      <c r="D14" s="46">
        <v>3925.0630000000001</v>
      </c>
      <c r="E14" s="18">
        <v>4020.3890000000001</v>
      </c>
      <c r="F14" s="18">
        <v>3982.9009999999998</v>
      </c>
      <c r="G14" s="18">
        <v>3774.393</v>
      </c>
      <c r="H14" s="18">
        <v>2110.94</v>
      </c>
      <c r="I14" s="18">
        <v>2489.5070000000001</v>
      </c>
      <c r="J14" s="18">
        <v>2245.5590000000002</v>
      </c>
      <c r="K14" s="18">
        <v>2300.7461423097002</v>
      </c>
      <c r="L14" s="18">
        <v>2093.7089999999998</v>
      </c>
      <c r="M14" s="46">
        <v>2432.8106837523997</v>
      </c>
      <c r="N14" s="18">
        <v>2464.6030000000001</v>
      </c>
      <c r="O14" s="18">
        <v>2320.3879999999999</v>
      </c>
      <c r="P14" s="18">
        <v>2077.2359999999999</v>
      </c>
      <c r="Q14" s="18">
        <v>2253.614</v>
      </c>
      <c r="R14" s="18"/>
      <c r="S14" s="18">
        <f>+SUM(D14:G14)</f>
        <v>15702.745999999999</v>
      </c>
      <c r="T14" s="18">
        <f>+SUM(H14:K14)</f>
        <v>9146.7521423097005</v>
      </c>
      <c r="U14" s="66">
        <f>+SUM(L14:O14)</f>
        <v>9311.5106837523999</v>
      </c>
      <c r="V14" s="66">
        <f>+SUM(P14:Q14)</f>
        <v>4330.8500000000004</v>
      </c>
    </row>
    <row r="15" spans="2:22" x14ac:dyDescent="0.35">
      <c r="B15" s="2" t="s">
        <v>90</v>
      </c>
      <c r="C15" s="2" t="s">
        <v>91</v>
      </c>
      <c r="D15" s="46">
        <v>1755.971</v>
      </c>
      <c r="E15" s="18">
        <v>1755.954</v>
      </c>
      <c r="F15" s="18">
        <v>1702.2950000000001</v>
      </c>
      <c r="G15" s="18">
        <v>1525.3810000000001</v>
      </c>
      <c r="H15" s="18">
        <v>647.62900000000002</v>
      </c>
      <c r="I15" s="18">
        <v>686.053</v>
      </c>
      <c r="J15" s="18">
        <v>654.01199999999994</v>
      </c>
      <c r="K15" s="18">
        <v>587.24485000000004</v>
      </c>
      <c r="L15" s="18">
        <v>521.94823999999994</v>
      </c>
      <c r="M15" s="18">
        <v>551.13747999999998</v>
      </c>
      <c r="N15" s="18">
        <v>602.20899999999995</v>
      </c>
      <c r="O15" s="18">
        <v>599.06100000000004</v>
      </c>
      <c r="P15" s="18">
        <v>569.57899999999995</v>
      </c>
      <c r="Q15" s="18">
        <v>636.56500000000005</v>
      </c>
      <c r="R15" s="18"/>
      <c r="S15" s="18">
        <f>+SUM(D15:G15)</f>
        <v>6739.6010000000006</v>
      </c>
      <c r="T15" s="18">
        <f>+SUM(H15:K15)</f>
        <v>2574.93885</v>
      </c>
      <c r="U15" s="66">
        <f>+SUM(L15:O15)</f>
        <v>2274.35572</v>
      </c>
      <c r="V15" s="66">
        <f t="shared" ref="V15:V19" si="0">+SUM(P15:Q15)</f>
        <v>1206.144</v>
      </c>
    </row>
    <row r="16" spans="2:22" x14ac:dyDescent="0.35">
      <c r="B16" s="1" t="s">
        <v>92</v>
      </c>
      <c r="C16" s="2" t="s">
        <v>6</v>
      </c>
      <c r="D16" s="47">
        <v>3381.7070105759999</v>
      </c>
      <c r="E16" s="34">
        <v>3331.5121082689998</v>
      </c>
      <c r="F16" s="34">
        <v>3086.6342873600001</v>
      </c>
      <c r="G16" s="34">
        <v>2917.4914031110002</v>
      </c>
      <c r="H16" s="18">
        <v>1311.3334200280001</v>
      </c>
      <c r="I16" s="34">
        <v>1344.1712059250001</v>
      </c>
      <c r="J16" s="34">
        <v>1335.6269549819999</v>
      </c>
      <c r="K16" s="34">
        <v>1308.1493787219999</v>
      </c>
      <c r="L16" s="34">
        <v>1231.0399885419999</v>
      </c>
      <c r="M16" s="18">
        <v>1283.3869703370001</v>
      </c>
      <c r="N16" s="18">
        <v>1366.4464300310001</v>
      </c>
      <c r="O16" s="18">
        <v>1274.8089073409999</v>
      </c>
      <c r="P16" s="18">
        <v>1221.693</v>
      </c>
      <c r="Q16" s="18">
        <v>1314.7940000000001</v>
      </c>
      <c r="R16" s="18"/>
      <c r="S16" s="34">
        <f t="shared" ref="S16:S17" si="1">+SUM(D16:G16)</f>
        <v>12717.344809316</v>
      </c>
      <c r="T16" s="34">
        <f t="shared" ref="T16:T17" si="2">+SUM(H16:K16)</f>
        <v>5299.2809596569996</v>
      </c>
      <c r="U16" s="66">
        <f>+SUM(L16:O16)</f>
        <v>5155.6822962510005</v>
      </c>
      <c r="V16" s="66">
        <f t="shared" si="0"/>
        <v>2536.4870000000001</v>
      </c>
    </row>
    <row r="17" spans="2:24" x14ac:dyDescent="0.35">
      <c r="B17" s="1" t="s">
        <v>93</v>
      </c>
      <c r="C17" s="2" t="s">
        <v>6</v>
      </c>
      <c r="D17" s="47">
        <v>597.24221313963096</v>
      </c>
      <c r="E17" s="34">
        <v>669.90876585813123</v>
      </c>
      <c r="F17" s="34">
        <v>742.15381399365936</v>
      </c>
      <c r="G17" s="34">
        <v>675.72294477617402</v>
      </c>
      <c r="H17" s="34">
        <v>291.25266310199999</v>
      </c>
      <c r="I17" s="34">
        <v>278.81829382601802</v>
      </c>
      <c r="J17" s="34">
        <v>316.54249269480601</v>
      </c>
      <c r="K17" s="34">
        <v>309.45545520178001</v>
      </c>
      <c r="L17" s="34">
        <v>258.47664699699999</v>
      </c>
      <c r="M17" s="34">
        <v>295.07859908</v>
      </c>
      <c r="N17" s="18">
        <v>374.10653784213213</v>
      </c>
      <c r="O17" s="18">
        <v>347.07915562328998</v>
      </c>
      <c r="P17" s="18">
        <v>270.63799999999998</v>
      </c>
      <c r="Q17" s="18">
        <v>279.33300000000003</v>
      </c>
      <c r="R17" s="18"/>
      <c r="S17" s="34">
        <f t="shared" si="1"/>
        <v>2685.0277377675957</v>
      </c>
      <c r="T17" s="34">
        <f t="shared" si="2"/>
        <v>1196.068904824604</v>
      </c>
      <c r="U17" s="66">
        <f>+SUM(L17:O17)</f>
        <v>1274.7409395424222</v>
      </c>
      <c r="V17" s="66">
        <f t="shared" si="0"/>
        <v>549.971</v>
      </c>
    </row>
    <row r="18" spans="2:24" x14ac:dyDescent="0.35">
      <c r="B18" s="1" t="s">
        <v>94</v>
      </c>
      <c r="C18" s="2" t="s">
        <v>1</v>
      </c>
      <c r="D18" s="48">
        <f t="shared" ref="D18:I18" si="3">+D17/D16</f>
        <v>0.17660968595795168</v>
      </c>
      <c r="E18" s="35">
        <f t="shared" si="3"/>
        <v>0.20108249470124395</v>
      </c>
      <c r="F18" s="35">
        <f t="shared" si="3"/>
        <v>0.24044112288677513</v>
      </c>
      <c r="G18" s="48">
        <f t="shared" si="3"/>
        <v>0.23161094632725646</v>
      </c>
      <c r="H18" s="48">
        <f t="shared" si="3"/>
        <v>0.22210420222172103</v>
      </c>
      <c r="I18" s="48">
        <f t="shared" si="3"/>
        <v>0.20742766442028299</v>
      </c>
      <c r="J18" s="48">
        <f t="shared" ref="J18:Q18" si="4">+J17/J16</f>
        <v>0.23699917968417464</v>
      </c>
      <c r="K18" s="48">
        <f t="shared" si="4"/>
        <v>0.23655972340414469</v>
      </c>
      <c r="L18" s="48">
        <f t="shared" si="4"/>
        <v>0.20996608510104578</v>
      </c>
      <c r="M18" s="48">
        <f t="shared" si="4"/>
        <v>0.22992176631068365</v>
      </c>
      <c r="N18" s="48">
        <f t="shared" si="4"/>
        <v>0.27378061050929375</v>
      </c>
      <c r="O18" s="48">
        <f t="shared" si="4"/>
        <v>0.27225975095140237</v>
      </c>
      <c r="P18" s="48">
        <f t="shared" si="4"/>
        <v>0.22152701210533252</v>
      </c>
      <c r="Q18" s="48">
        <f t="shared" si="4"/>
        <v>0.21245381405756339</v>
      </c>
      <c r="R18" s="48"/>
      <c r="S18" s="35">
        <f>S17/S16</f>
        <v>0.21113115811727443</v>
      </c>
      <c r="T18" s="35">
        <f>T17/T16</f>
        <v>0.22570399907651256</v>
      </c>
      <c r="U18" s="35">
        <f>U17/U16</f>
        <v>0.24724970746730482</v>
      </c>
      <c r="V18" s="35">
        <f>V17/V16</f>
        <v>0.21682389856522033</v>
      </c>
    </row>
    <row r="19" spans="2:24" x14ac:dyDescent="0.35">
      <c r="B19" s="1" t="s">
        <v>95</v>
      </c>
      <c r="C19" s="2" t="s">
        <v>6</v>
      </c>
      <c r="D19" s="47">
        <v>118.273567261631</v>
      </c>
      <c r="E19" s="34">
        <v>135.9839027901312</v>
      </c>
      <c r="F19" s="34">
        <v>249.8913379886593</v>
      </c>
      <c r="G19" s="34">
        <v>209.03956831517399</v>
      </c>
      <c r="H19" s="34">
        <v>72.407897242168985</v>
      </c>
      <c r="I19" s="34">
        <v>127.152475504018</v>
      </c>
      <c r="J19" s="34">
        <v>156.51824420861001</v>
      </c>
      <c r="K19" s="34">
        <v>19.41624369178</v>
      </c>
      <c r="L19" s="34">
        <v>136.6961704083601</v>
      </c>
      <c r="M19" s="34">
        <v>244.57068622099982</v>
      </c>
      <c r="N19" s="34">
        <v>278.20277550913215</v>
      </c>
      <c r="O19" s="34">
        <v>138.47756335828998</v>
      </c>
      <c r="P19" s="34">
        <v>119.739</v>
      </c>
      <c r="Q19" s="34">
        <v>153.95500000000001</v>
      </c>
      <c r="R19" s="18"/>
      <c r="S19" s="34">
        <f t="shared" ref="S19" si="5">+SUM(D19:F19)</f>
        <v>504.1488080404215</v>
      </c>
      <c r="T19" s="34">
        <f t="shared" ref="T19" si="6">+SUM(H19:J19)</f>
        <v>356.07861695479698</v>
      </c>
      <c r="U19" s="36">
        <f>+SUM(L19:O19)</f>
        <v>797.94719549678211</v>
      </c>
      <c r="V19" s="66">
        <f t="shared" si="0"/>
        <v>273.69400000000002</v>
      </c>
      <c r="W19" s="34"/>
    </row>
    <row r="20" spans="2:24" x14ac:dyDescent="0.35">
      <c r="B20" s="1" t="s">
        <v>96</v>
      </c>
      <c r="C20" s="2" t="s">
        <v>1</v>
      </c>
      <c r="D20" s="48">
        <f>+D19/D16</f>
        <v>3.4974516388244316E-2</v>
      </c>
      <c r="E20" s="35">
        <f t="shared" ref="E20:Q20" si="7">+E19/E16</f>
        <v>4.0817472178057382E-2</v>
      </c>
      <c r="F20" s="35">
        <f t="shared" si="7"/>
        <v>8.0959166109176958E-2</v>
      </c>
      <c r="G20" s="48">
        <f t="shared" si="7"/>
        <v>7.1650448769881359E-2</v>
      </c>
      <c r="H20" s="48">
        <f t="shared" si="7"/>
        <v>5.521699983870075E-2</v>
      </c>
      <c r="I20" s="48">
        <f t="shared" si="7"/>
        <v>9.4595446579676737E-2</v>
      </c>
      <c r="J20" s="48">
        <f t="shared" si="7"/>
        <v>0.11718709601119079</v>
      </c>
      <c r="K20" s="48">
        <f t="shared" si="7"/>
        <v>1.484252793113639E-2</v>
      </c>
      <c r="L20" s="48">
        <f t="shared" si="7"/>
        <v>0.11104121042425129</v>
      </c>
      <c r="M20" s="48">
        <f t="shared" si="7"/>
        <v>0.19056659594789158</v>
      </c>
      <c r="N20" s="48">
        <f t="shared" si="7"/>
        <v>0.20359581568288826</v>
      </c>
      <c r="O20" s="48">
        <f t="shared" si="7"/>
        <v>0.10862613412948839</v>
      </c>
      <c r="P20" s="48">
        <f t="shared" si="7"/>
        <v>9.8010711365293907E-2</v>
      </c>
      <c r="Q20" s="48">
        <f t="shared" si="7"/>
        <v>0.11709438893088955</v>
      </c>
      <c r="R20" s="48"/>
      <c r="S20" s="35">
        <f>+S19/S16</f>
        <v>3.964261531000645E-2</v>
      </c>
      <c r="T20" s="35">
        <f>+T19/T16</f>
        <v>6.7193760750863168E-2</v>
      </c>
      <c r="U20" s="35">
        <f>+U19/U16</f>
        <v>0.15477043573398935</v>
      </c>
      <c r="V20" s="35">
        <f>+V19/V16</f>
        <v>0.10790278049917071</v>
      </c>
      <c r="W20" s="36"/>
      <c r="X20" s="36"/>
    </row>
    <row r="22" spans="2:24" s="51" customFormat="1" x14ac:dyDescent="0.35">
      <c r="B22" s="95" t="s">
        <v>163</v>
      </c>
      <c r="C22" s="95"/>
    </row>
    <row r="23" spans="2:24" x14ac:dyDescent="0.35">
      <c r="B23" s="93" t="s">
        <v>86</v>
      </c>
      <c r="C23" s="93" t="s">
        <v>87</v>
      </c>
      <c r="D23" s="3"/>
      <c r="E23" s="3"/>
      <c r="F23" s="3"/>
      <c r="G23" s="3"/>
      <c r="H23" s="3"/>
    </row>
    <row r="24" spans="2:24" x14ac:dyDescent="0.35">
      <c r="B24" s="93"/>
      <c r="C24" s="93"/>
      <c r="D24" s="94"/>
      <c r="E24" s="94"/>
      <c r="F24" s="94"/>
      <c r="G24" s="94"/>
      <c r="H24" s="11"/>
      <c r="M24" s="66"/>
    </row>
    <row r="25" spans="2:24" s="5" customFormat="1" x14ac:dyDescent="0.35">
      <c r="B25" s="93"/>
      <c r="C25" s="93"/>
      <c r="D25" s="5" t="s">
        <v>8</v>
      </c>
      <c r="E25" s="30" t="s">
        <v>9</v>
      </c>
      <c r="F25" s="30" t="s">
        <v>11</v>
      </c>
      <c r="G25" s="30" t="s">
        <v>10</v>
      </c>
      <c r="H25" s="54" t="s">
        <v>17</v>
      </c>
      <c r="S25" s="1"/>
      <c r="T25" s="1"/>
    </row>
    <row r="26" spans="2:24" x14ac:dyDescent="0.35">
      <c r="B26" s="1" t="s">
        <v>88</v>
      </c>
      <c r="C26" s="2" t="s">
        <v>89</v>
      </c>
      <c r="D26" s="46">
        <v>1500.78</v>
      </c>
      <c r="E26" s="18">
        <v>1581.9970000000001</v>
      </c>
      <c r="F26" s="18">
        <v>1526.7180000000001</v>
      </c>
      <c r="G26" s="18">
        <v>1476.9559999999999</v>
      </c>
      <c r="H26" s="55"/>
      <c r="J26" s="66"/>
      <c r="M26" s="66"/>
      <c r="U26" s="73"/>
      <c r="V26" s="79"/>
    </row>
    <row r="27" spans="2:24" x14ac:dyDescent="0.35">
      <c r="B27" s="2" t="s">
        <v>90</v>
      </c>
      <c r="C27" s="2" t="s">
        <v>91</v>
      </c>
      <c r="D27" s="46">
        <v>1064.049</v>
      </c>
      <c r="E27" s="18">
        <v>1075.6389999999999</v>
      </c>
      <c r="F27" s="18">
        <v>990.88099999999997</v>
      </c>
      <c r="G27" s="18">
        <v>881.30700000000002</v>
      </c>
      <c r="H27" s="55"/>
      <c r="U27" s="73"/>
      <c r="V27" s="79"/>
    </row>
    <row r="28" spans="2:24" x14ac:dyDescent="0.35">
      <c r="B28" s="1" t="s">
        <v>92</v>
      </c>
      <c r="C28" s="2" t="s">
        <v>97</v>
      </c>
      <c r="D28" s="47">
        <v>416.18421499999999</v>
      </c>
      <c r="E28" s="34">
        <v>443.50350500000002</v>
      </c>
      <c r="F28" s="34">
        <v>436.75989099999998</v>
      </c>
      <c r="G28" s="34">
        <v>412.46178600000002</v>
      </c>
      <c r="H28" s="56"/>
      <c r="I28" s="34"/>
      <c r="J28" s="34"/>
      <c r="K28" s="34"/>
      <c r="L28" s="34"/>
      <c r="M28" s="34"/>
      <c r="N28" s="34"/>
      <c r="O28" s="34"/>
      <c r="P28" s="34"/>
      <c r="Q28" s="34"/>
      <c r="R28" s="34"/>
    </row>
    <row r="29" spans="2:24" x14ac:dyDescent="0.35">
      <c r="B29" s="1" t="s">
        <v>93</v>
      </c>
      <c r="C29" s="2" t="s">
        <v>97</v>
      </c>
      <c r="D29" s="47">
        <v>65.264733309999997</v>
      </c>
      <c r="E29" s="34">
        <v>93.18513354000001</v>
      </c>
      <c r="F29" s="34">
        <v>107.91392189</v>
      </c>
      <c r="G29" s="34">
        <v>99.060164040000004</v>
      </c>
      <c r="H29" s="56"/>
      <c r="I29" s="34"/>
      <c r="J29" s="34"/>
      <c r="K29" s="34"/>
      <c r="L29" s="34"/>
      <c r="M29" s="34"/>
      <c r="N29" s="34"/>
      <c r="O29" s="34"/>
      <c r="P29" s="34"/>
      <c r="Q29" s="34"/>
      <c r="R29" s="34"/>
    </row>
    <row r="30" spans="2:24" x14ac:dyDescent="0.35">
      <c r="B30" s="1" t="s">
        <v>94</v>
      </c>
      <c r="C30" s="2" t="s">
        <v>1</v>
      </c>
      <c r="D30" s="48">
        <f>+D29/D28</f>
        <v>0.15681693576485115</v>
      </c>
      <c r="E30" s="35">
        <f t="shared" ref="E30:G30" si="8">+E29/E28</f>
        <v>0.21011138015696179</v>
      </c>
      <c r="F30" s="35">
        <f t="shared" si="8"/>
        <v>0.24707836986340856</v>
      </c>
      <c r="G30" s="48">
        <f t="shared" si="8"/>
        <v>0.24016810139109468</v>
      </c>
      <c r="H30" s="57"/>
    </row>
    <row r="31" spans="2:24" x14ac:dyDescent="0.35">
      <c r="C31" s="2"/>
    </row>
    <row r="32" spans="2:24" s="51" customFormat="1" x14ac:dyDescent="0.35">
      <c r="B32" s="95" t="s">
        <v>164</v>
      </c>
      <c r="C32" s="95"/>
    </row>
    <row r="33" spans="2:23" x14ac:dyDescent="0.35">
      <c r="B33" s="93" t="s">
        <v>86</v>
      </c>
      <c r="C33" s="93" t="s">
        <v>87</v>
      </c>
      <c r="D33" s="3"/>
      <c r="E33" s="3"/>
      <c r="F33" s="3"/>
      <c r="G33" s="3"/>
      <c r="H33" s="3"/>
    </row>
    <row r="34" spans="2:23" x14ac:dyDescent="0.35">
      <c r="B34" s="93"/>
      <c r="C34" s="93"/>
      <c r="D34" s="94"/>
      <c r="E34" s="94"/>
      <c r="F34" s="94"/>
      <c r="G34" s="94"/>
      <c r="H34" s="11"/>
      <c r="S34" s="85" t="s">
        <v>120</v>
      </c>
      <c r="T34" s="85"/>
      <c r="U34" s="85"/>
    </row>
    <row r="35" spans="2:23" s="5" customFormat="1" x14ac:dyDescent="0.35">
      <c r="B35" s="93"/>
      <c r="C35" s="93"/>
      <c r="D35" s="5" t="s">
        <v>8</v>
      </c>
      <c r="E35" s="30" t="s">
        <v>9</v>
      </c>
      <c r="F35" s="30" t="s">
        <v>11</v>
      </c>
      <c r="G35" s="30" t="s">
        <v>10</v>
      </c>
      <c r="H35" s="30" t="str">
        <f>H13</f>
        <v>1Q24</v>
      </c>
      <c r="I35" s="30" t="str">
        <f>I13</f>
        <v>2Q24</v>
      </c>
      <c r="J35" s="30" t="str">
        <f>J13</f>
        <v>3Q24</v>
      </c>
      <c r="K35" s="30" t="str">
        <f>K13</f>
        <v>4Q24</v>
      </c>
      <c r="L35" s="30" t="s">
        <v>118</v>
      </c>
      <c r="M35" s="30" t="s">
        <v>148</v>
      </c>
      <c r="N35" s="30" t="s">
        <v>150</v>
      </c>
      <c r="O35" s="30" t="s">
        <v>151</v>
      </c>
      <c r="P35" s="30" t="s">
        <v>157</v>
      </c>
      <c r="Q35" s="30" t="s">
        <v>160</v>
      </c>
      <c r="R35" s="30"/>
      <c r="S35" s="5">
        <v>2023</v>
      </c>
      <c r="T35" s="5">
        <v>2024</v>
      </c>
      <c r="U35" s="5">
        <v>2025</v>
      </c>
      <c r="V35" s="5">
        <v>2026</v>
      </c>
    </row>
    <row r="36" spans="2:23" x14ac:dyDescent="0.35">
      <c r="B36" s="1" t="s">
        <v>88</v>
      </c>
      <c r="C36" s="2" t="s">
        <v>89</v>
      </c>
      <c r="D36" s="46">
        <v>1400.4880000000001</v>
      </c>
      <c r="E36" s="18">
        <v>1413.212</v>
      </c>
      <c r="F36" s="18">
        <v>1540.1949999999999</v>
      </c>
      <c r="G36" s="18">
        <f>+SUM(G37:G38)</f>
        <v>1461.335</v>
      </c>
      <c r="H36" s="18">
        <v>1318.6790000000001</v>
      </c>
      <c r="I36" s="18">
        <v>1339.09</v>
      </c>
      <c r="J36" s="18">
        <v>1354.4</v>
      </c>
      <c r="K36" s="18">
        <v>1336.593136</v>
      </c>
      <c r="L36" s="18">
        <v>1140.8274260000001</v>
      </c>
      <c r="M36" s="18">
        <v>1228.332727</v>
      </c>
      <c r="N36" s="18">
        <v>1398.144</v>
      </c>
      <c r="O36" s="18">
        <v>1287.335</v>
      </c>
      <c r="P36" s="18">
        <v>1172.722</v>
      </c>
      <c r="Q36" s="18">
        <v>1296.4839999999999</v>
      </c>
      <c r="R36" s="18"/>
      <c r="S36" s="18">
        <f>+SUM(D36:G36)</f>
        <v>5815.23</v>
      </c>
      <c r="T36" s="18">
        <f>+SUM(H36:K36)</f>
        <v>5348.7621360000003</v>
      </c>
      <c r="U36" s="66">
        <f t="shared" ref="U36:U42" si="9">+SUM(L36:O36)</f>
        <v>5054.6391530000001</v>
      </c>
      <c r="V36" s="66">
        <f>+SUM(P36:Q36)</f>
        <v>2469.2060000000001</v>
      </c>
      <c r="W36" s="73"/>
    </row>
    <row r="37" spans="2:23" x14ac:dyDescent="0.35">
      <c r="B37" s="9" t="s">
        <v>98</v>
      </c>
      <c r="C37" s="2" t="s">
        <v>89</v>
      </c>
      <c r="D37" s="46">
        <v>1055.886</v>
      </c>
      <c r="E37" s="18">
        <v>1105.598</v>
      </c>
      <c r="F37" s="18">
        <v>1159.943</v>
      </c>
      <c r="G37" s="18">
        <v>1136.164</v>
      </c>
      <c r="H37" s="18">
        <v>964.26199999999994</v>
      </c>
      <c r="I37" s="18">
        <v>991.81399999999996</v>
      </c>
      <c r="J37" s="18">
        <v>999.149</v>
      </c>
      <c r="K37" s="18">
        <v>959.72937100000001</v>
      </c>
      <c r="L37" s="18">
        <v>862.26999999999987</v>
      </c>
      <c r="M37" s="18">
        <v>937.14170899999999</v>
      </c>
      <c r="N37" s="18">
        <v>1071.8510000000001</v>
      </c>
      <c r="O37" s="18">
        <v>999.42600000000004</v>
      </c>
      <c r="P37" s="18">
        <v>932.40200000000004</v>
      </c>
      <c r="Q37" s="18">
        <v>1035.085</v>
      </c>
      <c r="R37" s="18"/>
      <c r="S37" s="18">
        <f t="shared" ref="S37:S42" si="10">+SUM(D37:G37)</f>
        <v>4457.5909999999994</v>
      </c>
      <c r="T37" s="18">
        <f t="shared" ref="T37:T42" si="11">+SUM(H37:K37)</f>
        <v>3914.9543709999998</v>
      </c>
      <c r="U37" s="66">
        <f t="shared" si="9"/>
        <v>3870.688709</v>
      </c>
      <c r="V37" s="66">
        <f t="shared" ref="V37:V42" si="12">+SUM(P37:Q37)</f>
        <v>1967.4870000000001</v>
      </c>
    </row>
    <row r="38" spans="2:23" x14ac:dyDescent="0.35">
      <c r="B38" s="9" t="s">
        <v>99</v>
      </c>
      <c r="C38" s="2" t="s">
        <v>89</v>
      </c>
      <c r="D38" s="46">
        <v>344.60199999999998</v>
      </c>
      <c r="E38" s="18">
        <v>307.61399999999998</v>
      </c>
      <c r="F38" s="18">
        <v>380.25200000000001</v>
      </c>
      <c r="G38" s="18">
        <v>325.17099999999999</v>
      </c>
      <c r="H38" s="18">
        <v>354.41699999999997</v>
      </c>
      <c r="I38" s="18">
        <v>347.27600000000001</v>
      </c>
      <c r="J38" s="18">
        <v>355.25099999999998</v>
      </c>
      <c r="K38" s="18">
        <v>376.863765</v>
      </c>
      <c r="L38" s="18">
        <v>278.55742599999996</v>
      </c>
      <c r="M38" s="18">
        <v>291.19101799999999</v>
      </c>
      <c r="N38" s="18">
        <v>326.29300000000001</v>
      </c>
      <c r="O38" s="18">
        <v>287.90899999999999</v>
      </c>
      <c r="P38" s="18">
        <v>240.31899999999999</v>
      </c>
      <c r="Q38" s="18">
        <v>261.39800000000002</v>
      </c>
      <c r="R38" s="18"/>
      <c r="S38" s="18">
        <f t="shared" si="10"/>
        <v>1357.6389999999999</v>
      </c>
      <c r="T38" s="18">
        <f t="shared" si="11"/>
        <v>1433.807765</v>
      </c>
      <c r="U38" s="66">
        <f t="shared" si="9"/>
        <v>1183.9504440000001</v>
      </c>
      <c r="V38" s="66">
        <f t="shared" si="12"/>
        <v>501.71699999999998</v>
      </c>
    </row>
    <row r="39" spans="2:23" x14ac:dyDescent="0.35">
      <c r="B39" s="2" t="s">
        <v>100</v>
      </c>
      <c r="C39" s="2" t="s">
        <v>91</v>
      </c>
      <c r="D39" s="46">
        <v>620.68399999999997</v>
      </c>
      <c r="E39" s="18">
        <v>612.55499999999995</v>
      </c>
      <c r="F39" s="18">
        <v>634.88400000000001</v>
      </c>
      <c r="G39" s="18">
        <v>582.64200000000005</v>
      </c>
      <c r="H39" s="18">
        <v>581.40700000000004</v>
      </c>
      <c r="I39" s="18">
        <v>633.90899999999999</v>
      </c>
      <c r="J39" s="18">
        <v>618.30600000000004</v>
      </c>
      <c r="K39" s="18">
        <v>551.65452000000005</v>
      </c>
      <c r="L39" s="18">
        <v>491.02339000000001</v>
      </c>
      <c r="M39" s="18">
        <v>518.02133000000003</v>
      </c>
      <c r="N39" s="18">
        <v>564.78300000000002</v>
      </c>
      <c r="O39" s="18">
        <v>568.53399999999999</v>
      </c>
      <c r="P39" s="18">
        <v>532.76400000000001</v>
      </c>
      <c r="Q39" s="18">
        <v>600.38300000000004</v>
      </c>
      <c r="R39" s="18"/>
      <c r="S39" s="18">
        <f t="shared" si="10"/>
        <v>2450.7650000000003</v>
      </c>
      <c r="T39" s="18">
        <f t="shared" si="11"/>
        <v>2385.2765200000003</v>
      </c>
      <c r="U39" s="66">
        <f t="shared" si="9"/>
        <v>2142.3617200000003</v>
      </c>
      <c r="V39" s="66">
        <f t="shared" si="12"/>
        <v>1133.1469999999999</v>
      </c>
    </row>
    <row r="40" spans="2:23" x14ac:dyDescent="0.35">
      <c r="B40" s="2" t="s">
        <v>101</v>
      </c>
      <c r="C40" s="2" t="s">
        <v>89</v>
      </c>
      <c r="D40" s="46">
        <v>313.31</v>
      </c>
      <c r="E40" s="18">
        <v>305</v>
      </c>
      <c r="F40" s="18">
        <v>208.61500000000001</v>
      </c>
      <c r="G40" s="18">
        <v>164.09200000000001</v>
      </c>
      <c r="H40" s="18">
        <v>150.024</v>
      </c>
      <c r="I40" s="18">
        <v>154.02099999999999</v>
      </c>
      <c r="J40" s="18">
        <v>136.66499999999999</v>
      </c>
      <c r="K40" s="18">
        <v>229.25965100000002</v>
      </c>
      <c r="L40" s="18">
        <v>119.704393</v>
      </c>
      <c r="M40" s="18">
        <v>109.48402</v>
      </c>
      <c r="N40" s="18">
        <v>148.297</v>
      </c>
      <c r="O40" s="18">
        <v>200.43799999999999</v>
      </c>
      <c r="P40" s="18">
        <v>111.374</v>
      </c>
      <c r="Q40" s="18">
        <v>121.208</v>
      </c>
      <c r="R40" s="18"/>
      <c r="S40" s="18">
        <f t="shared" si="10"/>
        <v>991.01699999999994</v>
      </c>
      <c r="T40" s="18">
        <f t="shared" si="11"/>
        <v>669.96965099999989</v>
      </c>
      <c r="U40" s="66">
        <f t="shared" si="9"/>
        <v>577.92341299999998</v>
      </c>
      <c r="V40" s="66">
        <f t="shared" si="12"/>
        <v>232.58199999999999</v>
      </c>
    </row>
    <row r="41" spans="2:23" x14ac:dyDescent="0.35">
      <c r="B41" s="1" t="s">
        <v>102</v>
      </c>
      <c r="C41" s="2" t="s">
        <v>6</v>
      </c>
      <c r="D41" s="34">
        <v>756.59213556600002</v>
      </c>
      <c r="E41" s="34">
        <v>766.21786251799995</v>
      </c>
      <c r="F41" s="34">
        <v>810.15914093599997</v>
      </c>
      <c r="G41" s="34">
        <v>740.04647459600005</v>
      </c>
      <c r="H41" s="34">
        <v>741.59410761499998</v>
      </c>
      <c r="I41" s="34">
        <v>744.30160101800004</v>
      </c>
      <c r="J41" s="34">
        <v>744.24807490900002</v>
      </c>
      <c r="K41" s="34">
        <v>715.441606116</v>
      </c>
      <c r="L41" s="34">
        <v>653.81262550700001</v>
      </c>
      <c r="M41" s="34">
        <v>691.35053104799999</v>
      </c>
      <c r="N41" s="18">
        <v>776.40058972899999</v>
      </c>
      <c r="O41" s="18">
        <v>735.18780165700002</v>
      </c>
      <c r="P41" s="18">
        <v>717.47199999999998</v>
      </c>
      <c r="Q41" s="18">
        <v>719.53399999999999</v>
      </c>
      <c r="R41" s="18"/>
      <c r="S41" s="34">
        <f t="shared" si="10"/>
        <v>3073.0156136160003</v>
      </c>
      <c r="T41" s="34">
        <f t="shared" si="11"/>
        <v>2945.5853896580002</v>
      </c>
      <c r="U41" s="66">
        <f t="shared" si="9"/>
        <v>2856.7515479409999</v>
      </c>
      <c r="V41" s="66">
        <f t="shared" si="12"/>
        <v>1437.0059999999999</v>
      </c>
      <c r="W41" s="73"/>
    </row>
    <row r="42" spans="2:23" x14ac:dyDescent="0.35">
      <c r="B42" s="1" t="s">
        <v>0</v>
      </c>
      <c r="C42" s="2" t="s">
        <v>6</v>
      </c>
      <c r="D42" s="34">
        <v>180.93715063600001</v>
      </c>
      <c r="E42" s="34">
        <v>147.36036617600001</v>
      </c>
      <c r="F42" s="34">
        <v>208.74894620000001</v>
      </c>
      <c r="G42" s="34">
        <v>207.232363582</v>
      </c>
      <c r="H42" s="34">
        <v>196.89109097799999</v>
      </c>
      <c r="I42" s="34">
        <v>167.88577219000001</v>
      </c>
      <c r="J42" s="34">
        <v>212.27452203999999</v>
      </c>
      <c r="K42" s="34">
        <v>206.61085813</v>
      </c>
      <c r="L42" s="34">
        <v>170.57588054999999</v>
      </c>
      <c r="M42" s="34">
        <v>177.51232432200001</v>
      </c>
      <c r="N42" s="18">
        <v>238.29502145800001</v>
      </c>
      <c r="O42" s="18">
        <v>225.72358035100001</v>
      </c>
      <c r="P42" s="18">
        <v>175.078</v>
      </c>
      <c r="Q42" s="18">
        <v>200.76599999999999</v>
      </c>
      <c r="R42" s="18"/>
      <c r="S42" s="34">
        <f t="shared" si="10"/>
        <v>744.27882659400007</v>
      </c>
      <c r="T42" s="34">
        <f t="shared" si="11"/>
        <v>783.66224333799994</v>
      </c>
      <c r="U42" s="66">
        <f t="shared" si="9"/>
        <v>812.10680668100008</v>
      </c>
      <c r="V42" s="66">
        <f t="shared" si="12"/>
        <v>375.84399999999999</v>
      </c>
      <c r="W42" s="73"/>
    </row>
    <row r="43" spans="2:23" x14ac:dyDescent="0.35">
      <c r="B43" s="1" t="s">
        <v>103</v>
      </c>
      <c r="C43" s="2" t="s">
        <v>1</v>
      </c>
      <c r="D43" s="35">
        <f>+D42/D41</f>
        <v>0.2391475434788157</v>
      </c>
      <c r="E43" s="35">
        <f t="shared" ref="E43:Q43" si="13">+E42/E41</f>
        <v>0.19232175779840716</v>
      </c>
      <c r="F43" s="35">
        <f t="shared" si="13"/>
        <v>0.25766412504934078</v>
      </c>
      <c r="G43" s="35">
        <f t="shared" si="13"/>
        <v>0.28002614794581726</v>
      </c>
      <c r="H43" s="35">
        <f t="shared" si="13"/>
        <v>0.26549710812995886</v>
      </c>
      <c r="I43" s="35">
        <f t="shared" si="13"/>
        <v>0.22556148201263898</v>
      </c>
      <c r="J43" s="35">
        <f t="shared" si="13"/>
        <v>0.28522011570665468</v>
      </c>
      <c r="K43" s="35">
        <f t="shared" si="13"/>
        <v>0.28878787082519858</v>
      </c>
      <c r="L43" s="35">
        <f t="shared" si="13"/>
        <v>0.26089413678380202</v>
      </c>
      <c r="M43" s="35">
        <f t="shared" si="13"/>
        <v>0.25676168072499167</v>
      </c>
      <c r="N43" s="35">
        <f t="shared" si="13"/>
        <v>0.3069227723554101</v>
      </c>
      <c r="O43" s="35">
        <f t="shared" si="13"/>
        <v>0.30702846244490706</v>
      </c>
      <c r="P43" s="35">
        <f t="shared" si="13"/>
        <v>0.24402067258373847</v>
      </c>
      <c r="Q43" s="35">
        <f t="shared" si="13"/>
        <v>0.27902225607129055</v>
      </c>
      <c r="R43" s="72"/>
      <c r="S43" s="35">
        <f t="shared" ref="S43:V43" si="14">+S42/S41</f>
        <v>0.24219819232164957</v>
      </c>
      <c r="T43" s="35">
        <f t="shared" si="14"/>
        <v>0.26604635061317566</v>
      </c>
      <c r="U43" s="35">
        <f t="shared" si="14"/>
        <v>0.28427631631680572</v>
      </c>
      <c r="V43" s="35">
        <f t="shared" si="14"/>
        <v>0.26154657670183701</v>
      </c>
    </row>
    <row r="44" spans="2:23" x14ac:dyDescent="0.35">
      <c r="L44" s="36"/>
      <c r="M44" s="66"/>
      <c r="N44" s="66"/>
      <c r="O44" s="66"/>
      <c r="P44" s="66"/>
      <c r="Q44" s="66"/>
      <c r="R44" s="66"/>
    </row>
    <row r="45" spans="2:23" s="51" customFormat="1" x14ac:dyDescent="0.35">
      <c r="B45" s="95" t="s">
        <v>165</v>
      </c>
      <c r="C45" s="95"/>
    </row>
    <row r="46" spans="2:23" x14ac:dyDescent="0.35">
      <c r="B46" s="93" t="s">
        <v>86</v>
      </c>
      <c r="C46" s="93" t="s">
        <v>87</v>
      </c>
      <c r="D46" s="3"/>
      <c r="E46" s="3"/>
      <c r="F46" s="3"/>
      <c r="G46" s="3"/>
      <c r="H46" s="3"/>
    </row>
    <row r="47" spans="2:23" x14ac:dyDescent="0.35">
      <c r="B47" s="93"/>
      <c r="C47" s="93"/>
      <c r="D47" s="94"/>
      <c r="E47" s="94"/>
      <c r="F47" s="94"/>
      <c r="G47" s="94"/>
      <c r="H47" s="11"/>
      <c r="S47" s="85" t="s">
        <v>7</v>
      </c>
      <c r="T47" s="85"/>
      <c r="U47" s="85"/>
    </row>
    <row r="48" spans="2:23" s="5" customFormat="1" x14ac:dyDescent="0.35">
      <c r="B48" s="93"/>
      <c r="C48" s="93"/>
      <c r="D48" s="5" t="s">
        <v>8</v>
      </c>
      <c r="E48" s="30" t="s">
        <v>9</v>
      </c>
      <c r="F48" s="30" t="s">
        <v>11</v>
      </c>
      <c r="G48" s="30" t="s">
        <v>10</v>
      </c>
      <c r="H48" s="30" t="str">
        <f>H13</f>
        <v>1Q24</v>
      </c>
      <c r="I48" s="30" t="str">
        <f>I13</f>
        <v>2Q24</v>
      </c>
      <c r="J48" s="30" t="str">
        <f>J13</f>
        <v>3Q24</v>
      </c>
      <c r="K48" s="30" t="str">
        <f>K13</f>
        <v>4Q24</v>
      </c>
      <c r="L48" s="30" t="s">
        <v>118</v>
      </c>
      <c r="M48" s="30" t="str">
        <f>M13</f>
        <v>2Q25</v>
      </c>
      <c r="N48" s="30" t="s">
        <v>150</v>
      </c>
      <c r="O48" s="30" t="s">
        <v>151</v>
      </c>
      <c r="P48" s="30" t="s">
        <v>157</v>
      </c>
      <c r="Q48" s="30" t="s">
        <v>160</v>
      </c>
      <c r="R48" s="30"/>
      <c r="S48" s="5">
        <v>2023</v>
      </c>
      <c r="T48" s="5">
        <v>2024</v>
      </c>
      <c r="U48" s="5">
        <v>2025</v>
      </c>
      <c r="V48" s="5">
        <v>2026</v>
      </c>
    </row>
    <row r="49" spans="2:23" s="6" customFormat="1" x14ac:dyDescent="0.35">
      <c r="B49" s="6" t="s">
        <v>88</v>
      </c>
      <c r="C49" s="11" t="s">
        <v>89</v>
      </c>
      <c r="D49" s="31">
        <v>1023.795</v>
      </c>
      <c r="E49" s="31">
        <v>1025.18</v>
      </c>
      <c r="F49" s="31">
        <v>915.98800000000006</v>
      </c>
      <c r="G49" s="31">
        <f>+SUM(G50:G52)</f>
        <v>836.10200000000009</v>
      </c>
      <c r="H49" s="31">
        <v>914.94100000000003</v>
      </c>
      <c r="I49" s="31">
        <v>1150.4169999999999</v>
      </c>
      <c r="J49" s="31">
        <v>891.15899999999999</v>
      </c>
      <c r="K49" s="31">
        <v>964.15300630970012</v>
      </c>
      <c r="L49" s="31">
        <v>952.88180748579998</v>
      </c>
      <c r="M49" s="31">
        <v>1204.4779567524001</v>
      </c>
      <c r="N49" s="31">
        <v>1066.4590000000001</v>
      </c>
      <c r="O49" s="31">
        <v>1033.0530000000001</v>
      </c>
      <c r="P49" s="31">
        <v>904.51414953779999</v>
      </c>
      <c r="Q49" s="31">
        <v>957.12900000000002</v>
      </c>
      <c r="R49" s="31"/>
      <c r="S49" s="18">
        <f t="shared" ref="S49:S63" si="15">+SUM(D49:G49)</f>
        <v>3801.0649999999996</v>
      </c>
      <c r="T49" s="18">
        <f t="shared" ref="T49:T63" si="16">+SUM(H49:K49)</f>
        <v>3920.6700063097005</v>
      </c>
      <c r="U49" s="18">
        <f t="shared" ref="U49:U63" si="17">+SUM(L49:O49)</f>
        <v>4256.8717642381998</v>
      </c>
      <c r="V49" s="18">
        <f>+SUM(P49:Q49)</f>
        <v>1861.6431495378001</v>
      </c>
    </row>
    <row r="50" spans="2:23" x14ac:dyDescent="0.35">
      <c r="B50" s="9" t="s">
        <v>104</v>
      </c>
      <c r="C50" s="2" t="s">
        <v>89</v>
      </c>
      <c r="D50" s="18">
        <v>414.33499999999998</v>
      </c>
      <c r="E50" s="18">
        <v>446.66500000000002</v>
      </c>
      <c r="F50" s="18">
        <v>397.37599999999998</v>
      </c>
      <c r="G50" s="18">
        <v>356.36500000000001</v>
      </c>
      <c r="H50" s="18">
        <v>417.09399999999999</v>
      </c>
      <c r="I50" s="18">
        <v>442.75299999999999</v>
      </c>
      <c r="J50" s="18">
        <v>417.78500000000003</v>
      </c>
      <c r="K50" s="18">
        <v>372.24373149999997</v>
      </c>
      <c r="L50" s="18">
        <v>418.57048800000001</v>
      </c>
      <c r="M50" s="18">
        <v>400.00108850000004</v>
      </c>
      <c r="N50" s="18">
        <v>461.60700000000003</v>
      </c>
      <c r="O50" s="18">
        <v>440.65800000000002</v>
      </c>
      <c r="P50" s="18">
        <v>471.10186650000003</v>
      </c>
      <c r="Q50" s="18">
        <v>483.3</v>
      </c>
      <c r="R50" s="31"/>
      <c r="S50" s="18">
        <f t="shared" si="15"/>
        <v>1614.741</v>
      </c>
      <c r="T50" s="18">
        <f t="shared" si="16"/>
        <v>1649.8757315</v>
      </c>
      <c r="U50" s="18">
        <f t="shared" si="17"/>
        <v>1720.8365764999999</v>
      </c>
      <c r="V50" s="18">
        <f t="shared" ref="V50:V55" si="18">+SUM(P50:Q50)</f>
        <v>954.4018665000001</v>
      </c>
    </row>
    <row r="51" spans="2:23" x14ac:dyDescent="0.35">
      <c r="B51" s="9" t="s">
        <v>105</v>
      </c>
      <c r="C51" s="2" t="s">
        <v>89</v>
      </c>
      <c r="D51" s="18">
        <v>408.11700000000002</v>
      </c>
      <c r="E51" s="18">
        <v>357.24</v>
      </c>
      <c r="F51" s="18">
        <v>350.75700000000001</v>
      </c>
      <c r="G51" s="18">
        <v>342.113</v>
      </c>
      <c r="H51" s="18">
        <v>353.31599999999997</v>
      </c>
      <c r="I51" s="18">
        <v>384.452</v>
      </c>
      <c r="J51" s="18">
        <v>370.596</v>
      </c>
      <c r="K51" s="18">
        <v>365.85963480970003</v>
      </c>
      <c r="L51" s="18">
        <v>373.61143948579996</v>
      </c>
      <c r="M51" s="18">
        <v>390.85134825239999</v>
      </c>
      <c r="N51" s="18">
        <v>393.56799999999998</v>
      </c>
      <c r="O51" s="18">
        <v>376.24799999999999</v>
      </c>
      <c r="P51" s="18">
        <v>328.1230500378</v>
      </c>
      <c r="Q51" s="18">
        <v>388.52600000000001</v>
      </c>
      <c r="R51" s="31"/>
      <c r="S51" s="18">
        <f t="shared" si="15"/>
        <v>1458.2270000000001</v>
      </c>
      <c r="T51" s="18">
        <f t="shared" si="16"/>
        <v>1474.2236348097001</v>
      </c>
      <c r="U51" s="18">
        <f t="shared" si="17"/>
        <v>1534.2787877382</v>
      </c>
      <c r="V51" s="18">
        <f t="shared" si="18"/>
        <v>716.64905003779995</v>
      </c>
    </row>
    <row r="52" spans="2:23" x14ac:dyDescent="0.35">
      <c r="B52" s="9" t="s">
        <v>2</v>
      </c>
      <c r="C52" s="2" t="s">
        <v>89</v>
      </c>
      <c r="D52" s="18">
        <v>201.34299999999999</v>
      </c>
      <c r="E52" s="18">
        <v>221.27500000000001</v>
      </c>
      <c r="F52" s="18">
        <v>167.85499999999999</v>
      </c>
      <c r="G52" s="18">
        <v>137.624</v>
      </c>
      <c r="H52" s="18">
        <v>144.53100000000001</v>
      </c>
      <c r="I52" s="18">
        <v>323.21199999999999</v>
      </c>
      <c r="J52" s="18">
        <v>102.77800000000001</v>
      </c>
      <c r="K52" s="18">
        <v>226.04964000000001</v>
      </c>
      <c r="L52" s="18">
        <v>160.69988000000001</v>
      </c>
      <c r="M52" s="18">
        <v>413.62551999999999</v>
      </c>
      <c r="N52" s="18">
        <v>211.28399999999999</v>
      </c>
      <c r="O52" s="18">
        <v>216.14699999999999</v>
      </c>
      <c r="P52" s="18">
        <v>105.289233</v>
      </c>
      <c r="Q52" s="18">
        <v>85.302999999999997</v>
      </c>
      <c r="R52" s="31"/>
      <c r="S52" s="18">
        <f t="shared" si="15"/>
        <v>728.09699999999998</v>
      </c>
      <c r="T52" s="18">
        <f t="shared" si="16"/>
        <v>796.57063999999991</v>
      </c>
      <c r="U52" s="18">
        <f t="shared" si="17"/>
        <v>1001.7564</v>
      </c>
      <c r="V52" s="18">
        <f t="shared" si="18"/>
        <v>190.59223299999999</v>
      </c>
    </row>
    <row r="53" spans="2:23" s="6" customFormat="1" x14ac:dyDescent="0.35">
      <c r="B53" s="11" t="s">
        <v>100</v>
      </c>
      <c r="C53" s="11" t="s">
        <v>91</v>
      </c>
      <c r="D53" s="40">
        <v>71.238</v>
      </c>
      <c r="E53" s="31">
        <v>67.760000000000005</v>
      </c>
      <c r="F53" s="31">
        <v>76.53</v>
      </c>
      <c r="G53" s="31">
        <f>+SUM(G54:G55)</f>
        <v>61.432000000000002</v>
      </c>
      <c r="H53" s="31">
        <v>66.221999999999994</v>
      </c>
      <c r="I53" s="31">
        <v>52.143999999999998</v>
      </c>
      <c r="J53" s="31">
        <v>35.706000000000003</v>
      </c>
      <c r="K53" s="31">
        <v>35.590330000000002</v>
      </c>
      <c r="L53" s="31">
        <v>30.924849999999999</v>
      </c>
      <c r="M53" s="31">
        <v>33.116150000000005</v>
      </c>
      <c r="N53" s="31">
        <v>37.426000000000002</v>
      </c>
      <c r="O53" s="31">
        <v>30.527000000000001</v>
      </c>
      <c r="P53" s="31">
        <v>36.81503</v>
      </c>
      <c r="Q53" s="31">
        <v>36.182000000000002</v>
      </c>
      <c r="R53" s="31"/>
      <c r="S53" s="31">
        <f t="shared" si="15"/>
        <v>276.95999999999998</v>
      </c>
      <c r="T53" s="31">
        <f t="shared" si="16"/>
        <v>189.66233</v>
      </c>
      <c r="U53" s="31">
        <f t="shared" si="17"/>
        <v>131.994</v>
      </c>
      <c r="V53" s="18">
        <f t="shared" si="18"/>
        <v>72.997029999999995</v>
      </c>
    </row>
    <row r="54" spans="2:23" x14ac:dyDescent="0.35">
      <c r="B54" s="9" t="s">
        <v>104</v>
      </c>
      <c r="C54" s="2" t="s">
        <v>91</v>
      </c>
      <c r="D54" s="38">
        <v>48.92</v>
      </c>
      <c r="E54" s="18">
        <v>48.308</v>
      </c>
      <c r="F54" s="18">
        <v>56.862000000000002</v>
      </c>
      <c r="G54" s="18">
        <v>33.250999999999998</v>
      </c>
      <c r="H54" s="18">
        <v>41.137999999999998</v>
      </c>
      <c r="I54" s="18">
        <v>27.7</v>
      </c>
      <c r="J54" s="18">
        <v>11.058999999999999</v>
      </c>
      <c r="K54" s="18">
        <v>8.9555000000000007</v>
      </c>
      <c r="L54" s="18">
        <v>6.8330000000000002</v>
      </c>
      <c r="M54" s="18">
        <v>8.6660000000000004</v>
      </c>
      <c r="N54" s="18">
        <v>10.122999999999999</v>
      </c>
      <c r="O54" s="18">
        <v>7.7960000000000003</v>
      </c>
      <c r="P54" s="18">
        <v>13.6425</v>
      </c>
      <c r="Q54" s="18">
        <v>12.334</v>
      </c>
      <c r="R54" s="31"/>
      <c r="S54" s="18">
        <f t="shared" si="15"/>
        <v>187.34100000000001</v>
      </c>
      <c r="T54" s="18">
        <f t="shared" si="16"/>
        <v>88.852499999999992</v>
      </c>
      <c r="U54" s="18">
        <f t="shared" si="17"/>
        <v>33.417999999999999</v>
      </c>
      <c r="V54" s="18">
        <f t="shared" si="18"/>
        <v>25.976500000000001</v>
      </c>
    </row>
    <row r="55" spans="2:23" x14ac:dyDescent="0.35">
      <c r="B55" s="9" t="s">
        <v>105</v>
      </c>
      <c r="C55" s="2" t="s">
        <v>91</v>
      </c>
      <c r="D55" s="38">
        <v>22.318000000000001</v>
      </c>
      <c r="E55" s="18">
        <v>19.452000000000002</v>
      </c>
      <c r="F55" s="18">
        <v>19.667999999999999</v>
      </c>
      <c r="G55" s="18">
        <v>28.181000000000001</v>
      </c>
      <c r="H55" s="18">
        <v>25.084</v>
      </c>
      <c r="I55" s="18">
        <v>24.443999999999999</v>
      </c>
      <c r="J55" s="18">
        <v>24.646999999999998</v>
      </c>
      <c r="K55" s="18">
        <v>26.634830000000001</v>
      </c>
      <c r="L55" s="18">
        <v>24.091849999999997</v>
      </c>
      <c r="M55" s="18">
        <v>24.450150000000001</v>
      </c>
      <c r="N55" s="18">
        <v>27.303000000000001</v>
      </c>
      <c r="O55" s="18">
        <v>22.731000000000002</v>
      </c>
      <c r="P55" s="18">
        <v>23.172529999999998</v>
      </c>
      <c r="Q55" s="18">
        <v>23.847000000000001</v>
      </c>
      <c r="R55" s="31"/>
      <c r="S55" s="18">
        <f t="shared" si="15"/>
        <v>89.619</v>
      </c>
      <c r="T55" s="18">
        <f t="shared" si="16"/>
        <v>100.80983000000001</v>
      </c>
      <c r="U55" s="18">
        <f t="shared" si="17"/>
        <v>98.575999999999993</v>
      </c>
      <c r="V55" s="18">
        <f t="shared" si="18"/>
        <v>47.019530000000003</v>
      </c>
    </row>
    <row r="56" spans="2:23" s="6" customFormat="1" x14ac:dyDescent="0.35">
      <c r="B56" s="6" t="s">
        <v>102</v>
      </c>
      <c r="C56" s="11" t="s">
        <v>97</v>
      </c>
      <c r="D56" s="39">
        <v>144.89977199999998</v>
      </c>
      <c r="E56" s="39">
        <v>140.95103700000001</v>
      </c>
      <c r="F56" s="39">
        <v>134.56586200000001</v>
      </c>
      <c r="G56" s="39">
        <f>+SUM(G57:G59)</f>
        <v>123.264977</v>
      </c>
      <c r="H56" s="39">
        <v>144.308661</v>
      </c>
      <c r="I56" s="39">
        <v>150.02012400000001</v>
      </c>
      <c r="J56" s="39">
        <v>141.01509099999998</v>
      </c>
      <c r="K56" s="39">
        <v>133.78689199999999</v>
      </c>
      <c r="L56" s="39">
        <v>137.183333</v>
      </c>
      <c r="M56" s="39">
        <v>140.51787300000001</v>
      </c>
      <c r="N56" s="39">
        <v>143.532488</v>
      </c>
      <c r="O56" s="39">
        <v>132.396083</v>
      </c>
      <c r="P56" s="39">
        <v>128.59971999999999</v>
      </c>
      <c r="Q56" s="39">
        <v>161.60499999999999</v>
      </c>
      <c r="R56" s="31"/>
      <c r="S56" s="39">
        <f t="shared" si="15"/>
        <v>543.68164800000011</v>
      </c>
      <c r="T56" s="39">
        <f t="shared" si="16"/>
        <v>569.13076799999999</v>
      </c>
      <c r="U56" s="39">
        <f t="shared" si="17"/>
        <v>553.62977699999999</v>
      </c>
      <c r="V56" s="39">
        <f>+SUM(P56:Q56)</f>
        <v>290.20471999999995</v>
      </c>
    </row>
    <row r="57" spans="2:23" x14ac:dyDescent="0.35">
      <c r="B57" s="9" t="s">
        <v>104</v>
      </c>
      <c r="C57" s="2" t="s">
        <v>97</v>
      </c>
      <c r="D57" s="34">
        <v>66.759804000000003</v>
      </c>
      <c r="E57" s="34">
        <v>69.423162000000005</v>
      </c>
      <c r="F57" s="34">
        <v>63.944204999999997</v>
      </c>
      <c r="G57" s="34">
        <v>54.843713999999999</v>
      </c>
      <c r="H57" s="34">
        <v>65.521279000000007</v>
      </c>
      <c r="I57" s="34">
        <v>68.53514100000001</v>
      </c>
      <c r="J57" s="34">
        <v>62.542997999999997</v>
      </c>
      <c r="K57" s="34">
        <v>55.305380999999997</v>
      </c>
      <c r="L57" s="34">
        <v>61.778410999999998</v>
      </c>
      <c r="M57" s="34">
        <v>58.621898999999999</v>
      </c>
      <c r="N57" s="34">
        <v>64.496572999999998</v>
      </c>
      <c r="O57" s="34">
        <v>58.534973999999998</v>
      </c>
      <c r="P57" s="34">
        <v>65.045327</v>
      </c>
      <c r="Q57" s="34">
        <v>71.031999999999996</v>
      </c>
      <c r="R57" s="31"/>
      <c r="S57" s="34">
        <f t="shared" si="15"/>
        <v>254.97088500000004</v>
      </c>
      <c r="T57" s="34">
        <f t="shared" si="16"/>
        <v>251.90479900000003</v>
      </c>
      <c r="U57" s="34">
        <f t="shared" si="17"/>
        <v>243.43185700000001</v>
      </c>
      <c r="V57" s="34">
        <f>+SUM(P57:Q57)</f>
        <v>136.077327</v>
      </c>
      <c r="W57" s="36"/>
    </row>
    <row r="58" spans="2:23" x14ac:dyDescent="0.35">
      <c r="B58" s="9" t="s">
        <v>105</v>
      </c>
      <c r="C58" s="2" t="s">
        <v>97</v>
      </c>
      <c r="D58" s="34">
        <v>70.748360000000005</v>
      </c>
      <c r="E58" s="34">
        <v>64.119352000000006</v>
      </c>
      <c r="F58" s="34">
        <v>63.198500000000003</v>
      </c>
      <c r="G58" s="34">
        <v>61.351745000000001</v>
      </c>
      <c r="H58" s="34">
        <v>62.874025000000003</v>
      </c>
      <c r="I58" s="34">
        <v>67.377379000000005</v>
      </c>
      <c r="J58" s="34">
        <v>66.481653999999992</v>
      </c>
      <c r="K58" s="34">
        <v>66.566498999999993</v>
      </c>
      <c r="L58" s="34">
        <v>66.357395999999994</v>
      </c>
      <c r="M58" s="34">
        <v>72.045708000000005</v>
      </c>
      <c r="N58" s="34">
        <v>69.590288999999999</v>
      </c>
      <c r="O58" s="34">
        <v>66.981729000000001</v>
      </c>
      <c r="P58" s="34">
        <v>61.051217999999999</v>
      </c>
      <c r="Q58" s="34">
        <v>73.566999999999993</v>
      </c>
      <c r="R58" s="31"/>
      <c r="S58" s="34">
        <f t="shared" si="15"/>
        <v>259.417957</v>
      </c>
      <c r="T58" s="34">
        <f t="shared" si="16"/>
        <v>263.29955699999999</v>
      </c>
      <c r="U58" s="34">
        <f t="shared" si="17"/>
        <v>274.97512199999994</v>
      </c>
      <c r="V58" s="34">
        <f t="shared" ref="V58:V63" si="19">+SUM(P58:Q58)</f>
        <v>134.61821799999998</v>
      </c>
    </row>
    <row r="59" spans="2:23" x14ac:dyDescent="0.35">
      <c r="B59" s="9" t="s">
        <v>2</v>
      </c>
      <c r="C59" s="2" t="s">
        <v>97</v>
      </c>
      <c r="D59" s="34">
        <v>7.3916079999999997</v>
      </c>
      <c r="E59" s="34">
        <v>7.4085229999999997</v>
      </c>
      <c r="F59" s="34">
        <v>7.4231569999999998</v>
      </c>
      <c r="G59" s="34">
        <v>7.0695180000000004</v>
      </c>
      <c r="H59" s="34">
        <v>15.913357</v>
      </c>
      <c r="I59" s="34">
        <v>14.107603999999998</v>
      </c>
      <c r="J59" s="34">
        <v>11.990439</v>
      </c>
      <c r="K59" s="34">
        <v>11.915012000000001</v>
      </c>
      <c r="L59" s="34">
        <v>9.0475259999999995</v>
      </c>
      <c r="M59" s="34">
        <v>9.8502659999999995</v>
      </c>
      <c r="N59" s="34">
        <v>9.4456260000000007</v>
      </c>
      <c r="O59" s="34">
        <v>6.8793800000000003</v>
      </c>
      <c r="P59" s="34">
        <v>2.5031750000000001</v>
      </c>
      <c r="Q59" s="34">
        <v>17.004999999999999</v>
      </c>
      <c r="R59" s="31"/>
      <c r="S59" s="34">
        <f t="shared" si="15"/>
        <v>29.292805999999999</v>
      </c>
      <c r="T59" s="34">
        <f t="shared" si="16"/>
        <v>53.926411999999999</v>
      </c>
      <c r="U59" s="34">
        <f t="shared" si="17"/>
        <v>35.222797999999997</v>
      </c>
      <c r="V59" s="34">
        <f t="shared" si="19"/>
        <v>19.508174999999998</v>
      </c>
    </row>
    <row r="60" spans="2:23" s="6" customFormat="1" x14ac:dyDescent="0.35">
      <c r="B60" s="6" t="s">
        <v>0</v>
      </c>
      <c r="C60" s="11" t="s">
        <v>97</v>
      </c>
      <c r="D60" s="39">
        <v>29.863152999999997</v>
      </c>
      <c r="E60" s="39">
        <v>33.435620999999998</v>
      </c>
      <c r="F60" s="39">
        <v>33.136890999999999</v>
      </c>
      <c r="G60" s="39">
        <f>+SUM(G61:G63)</f>
        <v>27.638216</v>
      </c>
      <c r="H60" s="39">
        <v>34.088701</v>
      </c>
      <c r="I60" s="39">
        <v>37.618216969999999</v>
      </c>
      <c r="J60" s="39">
        <v>34.615921</v>
      </c>
      <c r="K60" s="39">
        <v>36.004030999999998</v>
      </c>
      <c r="L60" s="39">
        <v>28.829965999999999</v>
      </c>
      <c r="M60" s="39">
        <v>37.822221999999996</v>
      </c>
      <c r="N60" s="39">
        <v>40.054755999999998</v>
      </c>
      <c r="O60" s="39">
        <v>33.911254</v>
      </c>
      <c r="P60" s="39">
        <v>29.971937</v>
      </c>
      <c r="Q60" s="39">
        <v>31.98</v>
      </c>
      <c r="R60" s="31"/>
      <c r="S60" s="39">
        <f t="shared" si="15"/>
        <v>124.073881</v>
      </c>
      <c r="T60" s="39">
        <f t="shared" si="16"/>
        <v>142.32686997000002</v>
      </c>
      <c r="U60" s="39">
        <f t="shared" si="17"/>
        <v>140.61819800000001</v>
      </c>
      <c r="V60" s="34">
        <f t="shared" si="19"/>
        <v>61.951937000000001</v>
      </c>
    </row>
    <row r="61" spans="2:23" x14ac:dyDescent="0.35">
      <c r="B61" s="9" t="s">
        <v>104</v>
      </c>
      <c r="C61" s="2" t="s">
        <v>97</v>
      </c>
      <c r="D61" s="34">
        <v>17.568175</v>
      </c>
      <c r="E61" s="34">
        <v>19.281972</v>
      </c>
      <c r="F61" s="34">
        <v>17.968489999999999</v>
      </c>
      <c r="G61" s="34">
        <v>12.806429</v>
      </c>
      <c r="H61" s="34">
        <v>17.99963</v>
      </c>
      <c r="I61" s="34">
        <v>19.612840970000001</v>
      </c>
      <c r="J61" s="34">
        <v>19.009065999999997</v>
      </c>
      <c r="K61" s="34">
        <v>19.237587000000001</v>
      </c>
      <c r="L61" s="34">
        <v>12.771711</v>
      </c>
      <c r="M61" s="34">
        <v>17.799772000000001</v>
      </c>
      <c r="N61" s="34">
        <v>22.373252000000001</v>
      </c>
      <c r="O61" s="34">
        <v>19.347325000000001</v>
      </c>
      <c r="P61" s="34">
        <v>19.700261999999999</v>
      </c>
      <c r="Q61" s="34">
        <v>14.462</v>
      </c>
      <c r="R61" s="31"/>
      <c r="S61" s="34">
        <f t="shared" si="15"/>
        <v>67.62506599999999</v>
      </c>
      <c r="T61" s="34">
        <f t="shared" si="16"/>
        <v>75.859123969999999</v>
      </c>
      <c r="U61" s="34">
        <f t="shared" si="17"/>
        <v>72.292060000000006</v>
      </c>
      <c r="V61" s="34">
        <f t="shared" si="19"/>
        <v>34.162261999999998</v>
      </c>
      <c r="W61" s="36"/>
    </row>
    <row r="62" spans="2:23" x14ac:dyDescent="0.35">
      <c r="B62" s="9" t="s">
        <v>105</v>
      </c>
      <c r="C62" s="2" t="s">
        <v>97</v>
      </c>
      <c r="D62" s="34">
        <v>8.8182670000000005</v>
      </c>
      <c r="E62" s="34">
        <v>9.7890619999999995</v>
      </c>
      <c r="F62" s="34">
        <v>9.7765690000000003</v>
      </c>
      <c r="G62" s="34">
        <v>11.00418</v>
      </c>
      <c r="H62" s="34">
        <v>12.038437</v>
      </c>
      <c r="I62" s="34">
        <v>13.332839</v>
      </c>
      <c r="J62" s="34">
        <v>12.481928</v>
      </c>
      <c r="K62" s="34">
        <v>13.677179000000001</v>
      </c>
      <c r="L62" s="34">
        <v>13.418402</v>
      </c>
      <c r="M62" s="34">
        <v>16.503630999999999</v>
      </c>
      <c r="N62" s="34">
        <v>14.871461999999998</v>
      </c>
      <c r="O62" s="34">
        <v>13.181709</v>
      </c>
      <c r="P62" s="34">
        <v>8.1862320000000004</v>
      </c>
      <c r="Q62" s="34">
        <v>16.085000000000001</v>
      </c>
      <c r="R62" s="31"/>
      <c r="S62" s="34">
        <f t="shared" si="15"/>
        <v>39.388078</v>
      </c>
      <c r="T62" s="34">
        <f t="shared" si="16"/>
        <v>51.530383000000008</v>
      </c>
      <c r="U62" s="34">
        <f t="shared" si="17"/>
        <v>57.975203999999991</v>
      </c>
      <c r="V62" s="34">
        <f t="shared" si="19"/>
        <v>24.271232000000001</v>
      </c>
    </row>
    <row r="63" spans="2:23" x14ac:dyDescent="0.35">
      <c r="B63" s="9" t="s">
        <v>2</v>
      </c>
      <c r="C63" s="2" t="s">
        <v>97</v>
      </c>
      <c r="D63" s="34">
        <v>3.4767109999999999</v>
      </c>
      <c r="E63" s="34">
        <v>4.3645870000000002</v>
      </c>
      <c r="F63" s="34">
        <v>5.391832</v>
      </c>
      <c r="G63" s="34">
        <v>3.827607</v>
      </c>
      <c r="H63" s="34">
        <v>4.0506339999999996</v>
      </c>
      <c r="I63" s="34">
        <v>4.6725370000000002</v>
      </c>
      <c r="J63" s="34">
        <v>3.124927</v>
      </c>
      <c r="K63" s="34">
        <v>3.0892650000000001</v>
      </c>
      <c r="L63" s="34">
        <v>2.639853</v>
      </c>
      <c r="M63" s="34">
        <v>3.5188190000000001</v>
      </c>
      <c r="N63" s="34">
        <v>2.8100420000000002</v>
      </c>
      <c r="O63" s="34">
        <v>1.38222</v>
      </c>
      <c r="P63" s="34">
        <v>2.0854430000000002</v>
      </c>
      <c r="Q63" s="34">
        <v>1.4319999999999999</v>
      </c>
      <c r="R63" s="31"/>
      <c r="S63" s="34">
        <f t="shared" si="15"/>
        <v>17.060737</v>
      </c>
      <c r="T63" s="34">
        <f t="shared" si="16"/>
        <v>14.937363000000001</v>
      </c>
      <c r="U63" s="34">
        <f t="shared" si="17"/>
        <v>10.350934000000001</v>
      </c>
      <c r="V63" s="34">
        <f t="shared" si="19"/>
        <v>3.5174430000000001</v>
      </c>
    </row>
    <row r="64" spans="2:23" s="6" customFormat="1" x14ac:dyDescent="0.35">
      <c r="B64" s="6" t="s">
        <v>103</v>
      </c>
      <c r="C64" s="11" t="s">
        <v>1</v>
      </c>
      <c r="D64" s="37">
        <f t="shared" ref="D64:G66" si="20">+D60/D56</f>
        <v>0.20609523802425306</v>
      </c>
      <c r="E64" s="37">
        <f t="shared" si="20"/>
        <v>0.23721443780509394</v>
      </c>
      <c r="F64" s="37">
        <f t="shared" si="20"/>
        <v>0.24625035285695265</v>
      </c>
      <c r="G64" s="37">
        <f t="shared" si="20"/>
        <v>0.22421791390104262</v>
      </c>
      <c r="H64" s="37">
        <f t="shared" ref="H64:L66" si="21">+H60/H56</f>
        <v>0.23622075600853923</v>
      </c>
      <c r="I64" s="37">
        <f t="shared" si="21"/>
        <v>0.2507544719133814</v>
      </c>
      <c r="J64" s="37">
        <f t="shared" si="21"/>
        <v>0.24547671284345024</v>
      </c>
      <c r="K64" s="37">
        <f t="shared" si="21"/>
        <v>0.26911478741878536</v>
      </c>
      <c r="L64" s="37">
        <f t="shared" si="21"/>
        <v>0.21015647724494343</v>
      </c>
      <c r="M64" s="37">
        <f t="shared" ref="M64:N64" si="22">+M60/M56</f>
        <v>0.26916306938406331</v>
      </c>
      <c r="N64" s="37">
        <f t="shared" si="22"/>
        <v>0.27906404019137465</v>
      </c>
      <c r="O64" s="37">
        <f t="shared" ref="O64:Q66" si="23">+O60/O56</f>
        <v>0.25613487371828059</v>
      </c>
      <c r="P64" s="37">
        <f t="shared" si="23"/>
        <v>0.23306378116530893</v>
      </c>
      <c r="Q64" s="37">
        <f t="shared" si="23"/>
        <v>0.19788991677237711</v>
      </c>
      <c r="R64" s="31"/>
      <c r="S64" s="37">
        <f t="shared" ref="S64:T66" si="24">+S60/S56</f>
        <v>0.22821053728118476</v>
      </c>
      <c r="T64" s="37">
        <f t="shared" si="24"/>
        <v>0.25007762358404073</v>
      </c>
      <c r="U64" s="37">
        <f t="shared" ref="U64:V66" si="25">+U60/U56</f>
        <v>0.25399319877984095</v>
      </c>
      <c r="V64" s="37">
        <f t="shared" si="25"/>
        <v>0.21347666915961949</v>
      </c>
    </row>
    <row r="65" spans="2:22" x14ac:dyDescent="0.35">
      <c r="B65" s="9" t="s">
        <v>106</v>
      </c>
      <c r="C65" s="2" t="s">
        <v>1</v>
      </c>
      <c r="D65" s="35">
        <f t="shared" si="20"/>
        <v>0.26315498170126445</v>
      </c>
      <c r="E65" s="35">
        <f t="shared" si="20"/>
        <v>0.27774551669081277</v>
      </c>
      <c r="F65" s="35">
        <f t="shared" si="20"/>
        <v>0.28100263346772392</v>
      </c>
      <c r="G65" s="35">
        <f t="shared" si="20"/>
        <v>0.23350769059878038</v>
      </c>
      <c r="H65" s="35">
        <f t="shared" ref="H65:I65" si="26">+H61/H57</f>
        <v>0.27471426496421109</v>
      </c>
      <c r="I65" s="35">
        <f t="shared" si="26"/>
        <v>0.28617203793306556</v>
      </c>
      <c r="J65" s="35">
        <f t="shared" si="21"/>
        <v>0.30393595778699317</v>
      </c>
      <c r="K65" s="35">
        <f t="shared" si="21"/>
        <v>0.34784295220748956</v>
      </c>
      <c r="L65" s="35">
        <f t="shared" ref="L65:M65" si="27">+L61/L57</f>
        <v>0.20673421011103701</v>
      </c>
      <c r="M65" s="35">
        <f t="shared" si="27"/>
        <v>0.30363690538240667</v>
      </c>
      <c r="N65" s="35">
        <f t="shared" ref="N65:O65" si="28">+N61/N57</f>
        <v>0.34689055494467902</v>
      </c>
      <c r="O65" s="35">
        <f t="shared" si="28"/>
        <v>0.3305259006350631</v>
      </c>
      <c r="P65" s="35">
        <f t="shared" ref="P65" si="29">+P61/P57</f>
        <v>0.30286975111986136</v>
      </c>
      <c r="Q65" s="35">
        <f t="shared" si="23"/>
        <v>0.20359837819574278</v>
      </c>
      <c r="R65" s="31"/>
      <c r="S65" s="35">
        <f t="shared" si="24"/>
        <v>0.26522661989426743</v>
      </c>
      <c r="T65" s="35">
        <f t="shared" si="24"/>
        <v>0.3011420356862673</v>
      </c>
      <c r="U65" s="35">
        <f t="shared" ref="U65" si="30">+U61/U57</f>
        <v>0.29697041665339635</v>
      </c>
      <c r="V65" s="35">
        <f t="shared" si="25"/>
        <v>0.25105036050568513</v>
      </c>
    </row>
    <row r="66" spans="2:22" x14ac:dyDescent="0.35">
      <c r="B66" s="9" t="s">
        <v>107</v>
      </c>
      <c r="C66" s="2" t="s">
        <v>1</v>
      </c>
      <c r="D66" s="35">
        <f t="shared" si="20"/>
        <v>0.12464270549875643</v>
      </c>
      <c r="E66" s="35">
        <f t="shared" si="20"/>
        <v>0.15266938443170788</v>
      </c>
      <c r="F66" s="35">
        <f t="shared" si="20"/>
        <v>0.15469621905583203</v>
      </c>
      <c r="G66" s="35">
        <f t="shared" si="20"/>
        <v>0.17936213550242133</v>
      </c>
      <c r="H66" s="35">
        <f t="shared" ref="H66:I66" si="31">+H62/H58</f>
        <v>0.1914691639353453</v>
      </c>
      <c r="I66" s="35">
        <f t="shared" si="31"/>
        <v>0.1978830164943044</v>
      </c>
      <c r="J66" s="35">
        <f t="shared" si="21"/>
        <v>0.18774996181653364</v>
      </c>
      <c r="K66" s="35">
        <f t="shared" si="21"/>
        <v>0.20546640135002447</v>
      </c>
      <c r="L66" s="35">
        <f t="shared" ref="L66:M66" si="32">+L62/L58</f>
        <v>0.20221411340493231</v>
      </c>
      <c r="M66" s="35">
        <f t="shared" si="32"/>
        <v>0.22907167488728125</v>
      </c>
      <c r="N66" s="35">
        <f t="shared" ref="N66:O66" si="33">+N62/N58</f>
        <v>0.21370024774577381</v>
      </c>
      <c r="O66" s="35">
        <f t="shared" si="33"/>
        <v>0.1967955918247497</v>
      </c>
      <c r="P66" s="35">
        <f t="shared" ref="P66" si="34">+P62/P58</f>
        <v>0.13408793908092057</v>
      </c>
      <c r="Q66" s="35">
        <f t="shared" si="23"/>
        <v>0.21864422907009939</v>
      </c>
      <c r="R66" s="31"/>
      <c r="S66" s="35">
        <f t="shared" si="24"/>
        <v>0.15183250402361315</v>
      </c>
      <c r="T66" s="35">
        <f t="shared" si="24"/>
        <v>0.19571010140362677</v>
      </c>
      <c r="U66" s="35">
        <f t="shared" ref="U66" si="35">+U62/U58</f>
        <v>0.21083799719161503</v>
      </c>
      <c r="V66" s="35">
        <f t="shared" si="25"/>
        <v>0.18029678568468352</v>
      </c>
    </row>
    <row r="67" spans="2:22" x14ac:dyDescent="0.35">
      <c r="B67" s="53" t="s">
        <v>166</v>
      </c>
    </row>
    <row r="68" spans="2:22" x14ac:dyDescent="0.35">
      <c r="B68" s="53" t="s">
        <v>167</v>
      </c>
    </row>
    <row r="69" spans="2:22" s="51" customFormat="1" x14ac:dyDescent="0.35">
      <c r="B69" s="95" t="s">
        <v>15</v>
      </c>
      <c r="C69" s="95"/>
    </row>
    <row r="70" spans="2:22" x14ac:dyDescent="0.35">
      <c r="B70" s="93" t="s">
        <v>86</v>
      </c>
      <c r="C70" s="93" t="s">
        <v>87</v>
      </c>
      <c r="D70" s="3"/>
      <c r="E70" s="3"/>
      <c r="F70" s="3"/>
      <c r="G70" s="3"/>
      <c r="H70" s="3"/>
    </row>
    <row r="71" spans="2:22" x14ac:dyDescent="0.35">
      <c r="B71" s="93"/>
      <c r="C71" s="93"/>
      <c r="D71" s="94"/>
      <c r="E71" s="94"/>
      <c r="F71" s="94"/>
      <c r="G71" s="94"/>
      <c r="H71" s="11"/>
      <c r="S71" s="85" t="s">
        <v>7</v>
      </c>
      <c r="T71" s="85"/>
      <c r="U71" s="85"/>
    </row>
    <row r="72" spans="2:22" s="5" customFormat="1" x14ac:dyDescent="0.35">
      <c r="B72" s="93"/>
      <c r="C72" s="93"/>
      <c r="D72" s="5" t="s">
        <v>8</v>
      </c>
      <c r="E72" s="30" t="s">
        <v>9</v>
      </c>
      <c r="F72" s="30" t="s">
        <v>11</v>
      </c>
      <c r="G72" s="30" t="s">
        <v>10</v>
      </c>
      <c r="H72" s="30" t="str">
        <f t="shared" ref="H72:M72" si="36">H13</f>
        <v>1Q24</v>
      </c>
      <c r="I72" s="30" t="str">
        <f t="shared" si="36"/>
        <v>2Q24</v>
      </c>
      <c r="J72" s="30" t="str">
        <f t="shared" si="36"/>
        <v>3Q24</v>
      </c>
      <c r="K72" s="30" t="str">
        <f t="shared" si="36"/>
        <v>4Q24</v>
      </c>
      <c r="L72" s="30" t="str">
        <f t="shared" si="36"/>
        <v>1Q25</v>
      </c>
      <c r="M72" s="30" t="str">
        <f t="shared" si="36"/>
        <v>2Q25</v>
      </c>
      <c r="N72" s="30" t="s">
        <v>150</v>
      </c>
      <c r="O72" s="30" t="s">
        <v>151</v>
      </c>
      <c r="P72" s="30" t="s">
        <v>157</v>
      </c>
      <c r="Q72" s="30" t="s">
        <v>160</v>
      </c>
      <c r="R72" s="30"/>
      <c r="S72" s="5">
        <f>S13</f>
        <v>2023</v>
      </c>
      <c r="T72" s="5">
        <f>T13</f>
        <v>2024</v>
      </c>
      <c r="U72" s="5">
        <f>U13</f>
        <v>2025</v>
      </c>
      <c r="V72" s="5">
        <v>2026</v>
      </c>
    </row>
    <row r="73" spans="2:22" x14ac:dyDescent="0.35">
      <c r="B73" s="1" t="s">
        <v>0</v>
      </c>
      <c r="C73" s="2" t="s">
        <v>6</v>
      </c>
      <c r="D73" s="34">
        <v>-36.310569291999997</v>
      </c>
      <c r="E73" s="34">
        <v>-44.2280382</v>
      </c>
      <c r="F73" s="34">
        <v>-48.527513917999997</v>
      </c>
      <c r="G73" s="34">
        <v>-49.874046063000002</v>
      </c>
      <c r="H73" s="34">
        <v>-38.490600301999997</v>
      </c>
      <c r="I73" s="34">
        <v>-33.968029211999998</v>
      </c>
      <c r="J73" s="34">
        <v>-45.800829540000002</v>
      </c>
      <c r="K73" s="34">
        <v>-64.267176522</v>
      </c>
      <c r="L73" s="34">
        <v>-30.019258963999999</v>
      </c>
      <c r="M73" s="34">
        <v>-39.348377257000003</v>
      </c>
      <c r="N73" s="34">
        <v>-23.422446408999999</v>
      </c>
      <c r="O73" s="34">
        <v>-71.741702025999999</v>
      </c>
      <c r="P73" s="34">
        <v>-9.4860003678182032</v>
      </c>
      <c r="Q73" s="34">
        <v>-29.138999999999999</v>
      </c>
      <c r="R73" s="34"/>
      <c r="S73" s="34">
        <f>+SUM(D73:G73)</f>
        <v>-178.940167473</v>
      </c>
      <c r="T73" s="34">
        <f>+SUM(H73:K73)</f>
        <v>-182.52663557599999</v>
      </c>
      <c r="U73" s="36">
        <f>+SUM(L73:O73)</f>
        <v>-164.53178465600001</v>
      </c>
      <c r="V73" s="36">
        <f>+SUM(P73:Q73)</f>
        <v>-38.625000367818203</v>
      </c>
    </row>
    <row r="75" spans="2:22" s="51" customFormat="1" ht="14" customHeight="1" x14ac:dyDescent="0.35">
      <c r="B75" s="95" t="s">
        <v>16</v>
      </c>
      <c r="C75" s="95"/>
    </row>
    <row r="76" spans="2:22" x14ac:dyDescent="0.35">
      <c r="B76" s="93" t="s">
        <v>86</v>
      </c>
      <c r="C76" s="93" t="s">
        <v>87</v>
      </c>
      <c r="D76" s="3"/>
      <c r="E76" s="3"/>
      <c r="F76" s="3"/>
      <c r="G76" s="3"/>
      <c r="H76" s="3"/>
    </row>
    <row r="77" spans="2:22" x14ac:dyDescent="0.35">
      <c r="B77" s="93"/>
      <c r="C77" s="93"/>
      <c r="D77" s="94"/>
      <c r="E77" s="94"/>
      <c r="F77" s="94"/>
      <c r="G77" s="94"/>
      <c r="H77" s="11"/>
    </row>
    <row r="78" spans="2:22" x14ac:dyDescent="0.35">
      <c r="B78" s="93"/>
      <c r="C78" s="93"/>
      <c r="D78" s="5" t="s">
        <v>8</v>
      </c>
      <c r="E78" s="30" t="s">
        <v>9</v>
      </c>
      <c r="F78" s="30" t="s">
        <v>11</v>
      </c>
      <c r="G78" s="30" t="s">
        <v>10</v>
      </c>
      <c r="H78" s="30" t="str">
        <f>H13</f>
        <v>1Q24</v>
      </c>
      <c r="I78" s="30" t="str">
        <f>I13</f>
        <v>2Q24</v>
      </c>
      <c r="J78" s="30" t="str">
        <f>J13</f>
        <v>3Q24</v>
      </c>
      <c r="K78" s="30" t="str">
        <f>K13</f>
        <v>4Q24</v>
      </c>
      <c r="L78" s="30" t="str">
        <f>L13</f>
        <v>1Q25</v>
      </c>
      <c r="M78" s="30" t="s">
        <v>148</v>
      </c>
      <c r="N78" s="30" t="s">
        <v>150</v>
      </c>
      <c r="O78" s="30" t="s">
        <v>151</v>
      </c>
      <c r="P78" s="30" t="s">
        <v>157</v>
      </c>
      <c r="Q78" s="30" t="s">
        <v>160</v>
      </c>
      <c r="R78" s="30"/>
    </row>
    <row r="79" spans="2:22" x14ac:dyDescent="0.35">
      <c r="B79" s="1" t="s">
        <v>108</v>
      </c>
      <c r="C79" s="1" t="s">
        <v>5</v>
      </c>
      <c r="D79" s="41">
        <v>4627.2700000000004</v>
      </c>
      <c r="E79" s="41">
        <v>4191.28</v>
      </c>
      <c r="F79" s="41">
        <v>4053.76</v>
      </c>
      <c r="G79" s="41">
        <v>3822.05</v>
      </c>
      <c r="H79" s="41">
        <v>3842.3</v>
      </c>
      <c r="I79" s="41">
        <v>4148.04</v>
      </c>
      <c r="J79" s="41">
        <v>4164.21</v>
      </c>
      <c r="K79" s="41">
        <v>4409.1499999999996</v>
      </c>
      <c r="L79" s="41">
        <v>4192.57</v>
      </c>
      <c r="M79" s="41">
        <v>4069.67</v>
      </c>
      <c r="N79" s="41">
        <v>3901.29</v>
      </c>
      <c r="O79" s="41">
        <v>3757.08</v>
      </c>
      <c r="P79" s="41">
        <v>3669.96</v>
      </c>
      <c r="Q79" s="41">
        <v>3443.59</v>
      </c>
      <c r="R79" s="41"/>
    </row>
    <row r="80" spans="2:22" x14ac:dyDescent="0.35">
      <c r="B80" s="1" t="s">
        <v>109</v>
      </c>
      <c r="C80" s="1" t="s">
        <v>5</v>
      </c>
      <c r="D80" s="41">
        <v>4757.9692063492075</v>
      </c>
      <c r="E80" s="41">
        <v>4596.8986885245922</v>
      </c>
      <c r="F80" s="41">
        <v>4413.5935519125669</v>
      </c>
      <c r="G80" s="41">
        <v>4330.1390946502042</v>
      </c>
      <c r="H80" s="41">
        <v>3920.8205000000003</v>
      </c>
      <c r="I80" s="41">
        <v>3921.0978512396705</v>
      </c>
      <c r="J80" s="41">
        <v>3981.2563586956549</v>
      </c>
      <c r="K80" s="41">
        <v>4073.7542276422769</v>
      </c>
      <c r="L80" s="41">
        <v>4190.4114754098373</v>
      </c>
      <c r="M80" s="41">
        <v>4195.2228333333333</v>
      </c>
      <c r="N80" s="41">
        <v>4129.4991847826077</v>
      </c>
      <c r="O80" s="41">
        <v>4052.8942857142856</v>
      </c>
      <c r="P80" s="41">
        <v>3696.2706557377051</v>
      </c>
      <c r="Q80" s="41">
        <v>3655.2825210084043</v>
      </c>
      <c r="R80" s="41"/>
    </row>
    <row r="82" spans="2:19" x14ac:dyDescent="0.35">
      <c r="B82" s="1" t="s">
        <v>161</v>
      </c>
    </row>
    <row r="83" spans="2:19" x14ac:dyDescent="0.35">
      <c r="D83" s="36"/>
      <c r="E83" s="36"/>
      <c r="F83" s="36"/>
      <c r="G83" s="36"/>
      <c r="H83" s="36"/>
      <c r="L83" s="36"/>
      <c r="M83" s="36"/>
      <c r="N83" s="36"/>
      <c r="O83" s="36"/>
      <c r="P83" s="36"/>
      <c r="Q83" s="36"/>
      <c r="R83" s="36"/>
      <c r="S83" s="36"/>
    </row>
    <row r="84" spans="2:19" x14ac:dyDescent="0.35">
      <c r="B84" s="3"/>
      <c r="D84" s="36"/>
      <c r="E84" s="36"/>
      <c r="F84" s="36"/>
      <c r="G84" s="36"/>
      <c r="H84" s="36"/>
    </row>
    <row r="85" spans="2:19" x14ac:dyDescent="0.35">
      <c r="B85" s="3"/>
    </row>
  </sheetData>
  <mergeCells count="29">
    <mergeCell ref="D71:G71"/>
    <mergeCell ref="D77:G77"/>
    <mergeCell ref="S12:U12"/>
    <mergeCell ref="S34:U34"/>
    <mergeCell ref="S47:U47"/>
    <mergeCell ref="S71:U71"/>
    <mergeCell ref="B75:C75"/>
    <mergeCell ref="B76:B78"/>
    <mergeCell ref="C76:C78"/>
    <mergeCell ref="B10:C10"/>
    <mergeCell ref="C11:C13"/>
    <mergeCell ref="B11:B13"/>
    <mergeCell ref="B22:C22"/>
    <mergeCell ref="B23:B25"/>
    <mergeCell ref="C23:C25"/>
    <mergeCell ref="B69:C69"/>
    <mergeCell ref="B70:B72"/>
    <mergeCell ref="C70:C72"/>
    <mergeCell ref="B32:C32"/>
    <mergeCell ref="B33:B35"/>
    <mergeCell ref="C33:C35"/>
    <mergeCell ref="B45:C45"/>
    <mergeCell ref="B46:B48"/>
    <mergeCell ref="C46:C48"/>
    <mergeCell ref="B1:B3"/>
    <mergeCell ref="D12:G12"/>
    <mergeCell ref="D24:G24"/>
    <mergeCell ref="D34:G34"/>
    <mergeCell ref="D47:G47"/>
  </mergeCells>
  <phoneticPr fontId="17" type="noConversion"/>
  <pageMargins left="0.7" right="0.7" top="0.75" bottom="0.75" header="0.3" footer="0.3"/>
  <pageSetup orientation="portrait" verticalDpi="597" r:id="rId1"/>
  <ignoredErrors>
    <ignoredError sqref="S14:T19 T37:T42 S37:S42 T36 S50:S63 T49:T63 U36:U42 U49:U63 U14:U17 U19 S73:U73 V40:V73" formulaRange="1"/>
    <ignoredError sqref="U18" formula="1" formulaRange="1"/>
  </ignoredErrors>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A14AD-1FDB-4E27-BDB7-8D975DBE5529}">
  <dimension ref="A1:P26"/>
  <sheetViews>
    <sheetView showGridLines="0" zoomScale="34" zoomScaleNormal="80" workbookViewId="0">
      <selection activeCell="P26" sqref="P26"/>
    </sheetView>
  </sheetViews>
  <sheetFormatPr baseColWidth="10" defaultRowHeight="13.5" x14ac:dyDescent="0.35"/>
  <cols>
    <col min="1" max="1" width="3.81640625" style="1" customWidth="1"/>
    <col min="2" max="2" width="27" style="1" customWidth="1"/>
    <col min="3" max="16384" width="10.90625" style="1"/>
  </cols>
  <sheetData>
    <row r="1" spans="1:6" s="49" customFormat="1" x14ac:dyDescent="0.35">
      <c r="B1" s="83" t="s">
        <v>111</v>
      </c>
    </row>
    <row r="2" spans="1:6" s="49" customFormat="1" x14ac:dyDescent="0.35">
      <c r="B2" s="84"/>
    </row>
    <row r="3" spans="1:6" s="49" customFormat="1" x14ac:dyDescent="0.35">
      <c r="B3" s="84"/>
    </row>
    <row r="5" spans="1:6" x14ac:dyDescent="0.35">
      <c r="B5" s="1" t="s">
        <v>168</v>
      </c>
    </row>
    <row r="6" spans="1:6" x14ac:dyDescent="0.35">
      <c r="B6" s="3"/>
    </row>
    <row r="7" spans="1:6" s="51" customFormat="1" x14ac:dyDescent="0.35">
      <c r="A7" s="52"/>
      <c r="B7" s="52" t="s">
        <v>12</v>
      </c>
    </row>
    <row r="10" spans="1:6" x14ac:dyDescent="0.35">
      <c r="C10" s="5" t="s">
        <v>8</v>
      </c>
      <c r="D10" s="30" t="s">
        <v>9</v>
      </c>
      <c r="E10" s="30" t="s">
        <v>11</v>
      </c>
      <c r="F10" s="30" t="s">
        <v>10</v>
      </c>
    </row>
    <row r="11" spans="1:6" x14ac:dyDescent="0.35">
      <c r="B11" s="1" t="s">
        <v>112</v>
      </c>
      <c r="C11" s="42">
        <v>0.152</v>
      </c>
      <c r="D11" s="42">
        <v>0.17499999999999999</v>
      </c>
      <c r="E11" s="42">
        <v>0.13200000000000001</v>
      </c>
      <c r="F11" s="35">
        <v>0.13100000000000001</v>
      </c>
    </row>
    <row r="12" spans="1:6" x14ac:dyDescent="0.35">
      <c r="B12" s="1" t="s">
        <v>113</v>
      </c>
      <c r="C12" s="42">
        <v>0.21299999999999999</v>
      </c>
      <c r="D12" s="42">
        <v>0.18099999999999999</v>
      </c>
      <c r="E12" s="42">
        <v>0.14299999999999999</v>
      </c>
      <c r="F12" s="43">
        <v>0.16600000000000001</v>
      </c>
    </row>
    <row r="14" spans="1:6" s="51" customFormat="1" x14ac:dyDescent="0.35">
      <c r="A14" s="52"/>
      <c r="B14" s="52" t="s">
        <v>13</v>
      </c>
    </row>
    <row r="17" spans="1:16" x14ac:dyDescent="0.35">
      <c r="C17" s="5" t="s">
        <v>8</v>
      </c>
      <c r="D17" s="30" t="s">
        <v>9</v>
      </c>
      <c r="E17" s="30" t="s">
        <v>11</v>
      </c>
      <c r="F17" s="30" t="s">
        <v>10</v>
      </c>
      <c r="G17" s="30" t="s">
        <v>17</v>
      </c>
      <c r="H17" s="30" t="s">
        <v>19</v>
      </c>
      <c r="I17" s="30" t="s">
        <v>20</v>
      </c>
      <c r="J17" s="30" t="s">
        <v>117</v>
      </c>
      <c r="K17" s="30" t="s">
        <v>118</v>
      </c>
      <c r="L17" s="30" t="s">
        <v>148</v>
      </c>
      <c r="M17" s="30" t="s">
        <v>150</v>
      </c>
      <c r="N17" s="30" t="s">
        <v>151</v>
      </c>
      <c r="O17" s="80" t="s">
        <v>157</v>
      </c>
      <c r="P17" s="80" t="s">
        <v>160</v>
      </c>
    </row>
    <row r="18" spans="1:16" x14ac:dyDescent="0.35">
      <c r="B18" s="1" t="s">
        <v>112</v>
      </c>
      <c r="C18" s="42">
        <v>0.24199999999999999</v>
      </c>
      <c r="D18" s="42">
        <v>0.193</v>
      </c>
      <c r="E18" s="43">
        <v>0.15</v>
      </c>
      <c r="F18" s="42">
        <v>0.14099999999999999</v>
      </c>
      <c r="G18" s="42">
        <v>9.1471829272693039E-2</v>
      </c>
      <c r="H18" s="42">
        <v>7.1948402253478871E-2</v>
      </c>
      <c r="I18" s="42">
        <v>4.9871066426629085E-2</v>
      </c>
      <c r="J18" s="42">
        <v>4.4830610440821816E-2</v>
      </c>
      <c r="K18" s="67">
        <v>5.058271163473238E-3</v>
      </c>
      <c r="L18" s="67">
        <v>1.1099497004456005E-2</v>
      </c>
      <c r="M18" s="35">
        <v>1.998293843483423E-2</v>
      </c>
      <c r="N18" s="35">
        <v>1.2151781500662207E-2</v>
      </c>
      <c r="O18" s="81">
        <v>-1.9063291889036438E-2</v>
      </c>
      <c r="P18" s="35">
        <v>-8.9300000000000004E-3</v>
      </c>
    </row>
    <row r="19" spans="1:16" x14ac:dyDescent="0.35">
      <c r="B19" s="1" t="s">
        <v>113</v>
      </c>
      <c r="C19" s="42">
        <v>0.24399999999999999</v>
      </c>
      <c r="D19" s="42">
        <v>0.22800000000000001</v>
      </c>
      <c r="E19" s="42">
        <v>0.216</v>
      </c>
      <c r="F19" s="42">
        <v>0.21099999999999999</v>
      </c>
      <c r="G19" s="42">
        <v>0.10184049889307101</v>
      </c>
      <c r="H19" s="42">
        <v>9.4186629026724589E-2</v>
      </c>
      <c r="I19" s="42">
        <v>7.5508710205788754E-2</v>
      </c>
      <c r="J19" s="42">
        <v>7.0140170385660561E-2</v>
      </c>
      <c r="K19" s="35">
        <v>3.9780033079231725E-2</v>
      </c>
      <c r="L19" s="35">
        <v>4.0346686325879455E-2</v>
      </c>
      <c r="M19" s="35">
        <v>3.4280681004318803E-2</v>
      </c>
      <c r="N19" s="35">
        <v>3.2278558937581137E-2</v>
      </c>
      <c r="O19" s="81">
        <v>2.7234546747545219E-2</v>
      </c>
      <c r="P19" s="35">
        <v>2.0007799544762728E-2</v>
      </c>
    </row>
    <row r="21" spans="1:16" s="51" customFormat="1" x14ac:dyDescent="0.35">
      <c r="A21" s="52"/>
      <c r="B21" s="52" t="s">
        <v>14</v>
      </c>
    </row>
    <row r="24" spans="1:16" x14ac:dyDescent="0.35">
      <c r="C24" s="5" t="s">
        <v>8</v>
      </c>
      <c r="D24" s="30" t="s">
        <v>9</v>
      </c>
      <c r="E24" s="30" t="s">
        <v>11</v>
      </c>
      <c r="F24" s="30" t="s">
        <v>10</v>
      </c>
      <c r="G24" s="30" t="s">
        <v>17</v>
      </c>
      <c r="H24" s="30" t="s">
        <v>19</v>
      </c>
      <c r="I24" s="30" t="s">
        <v>20</v>
      </c>
      <c r="J24" s="30" t="s">
        <v>117</v>
      </c>
      <c r="K24" s="30" t="s">
        <v>118</v>
      </c>
      <c r="L24" s="30" t="s">
        <v>148</v>
      </c>
      <c r="M24" s="30" t="s">
        <v>150</v>
      </c>
      <c r="N24" s="30" t="s">
        <v>151</v>
      </c>
      <c r="O24" s="80" t="s">
        <v>157</v>
      </c>
      <c r="P24" s="80" t="s">
        <v>160</v>
      </c>
    </row>
    <row r="25" spans="1:16" x14ac:dyDescent="0.35">
      <c r="B25" s="1" t="s">
        <v>112</v>
      </c>
      <c r="C25" s="42">
        <v>8.2000000000000003E-2</v>
      </c>
      <c r="D25" s="42">
        <v>4.9000000000000002E-2</v>
      </c>
      <c r="E25" s="42">
        <v>2.5000000000000001E-2</v>
      </c>
      <c r="F25" s="42">
        <v>8.3519698599050507E-3</v>
      </c>
      <c r="G25" s="42">
        <v>2.8626038626509143E-3</v>
      </c>
      <c r="H25" s="42">
        <v>-1.0730843863254513E-2</v>
      </c>
      <c r="I25" s="42">
        <v>-7.8458662102236509E-3</v>
      </c>
      <c r="J25" s="42">
        <v>1.2210885310111497E-2</v>
      </c>
      <c r="K25" s="35">
        <v>6.953779104086566E-3</v>
      </c>
      <c r="L25" s="35">
        <v>1.6711346591906207E-2</v>
      </c>
      <c r="M25" s="35">
        <v>-2.3799242891028305E-3</v>
      </c>
      <c r="N25" s="35">
        <v>-2.3479379731707883E-2</v>
      </c>
      <c r="O25" s="81">
        <v>4.8651121103771011E-4</v>
      </c>
      <c r="P25" s="67">
        <v>-3.4199999999999999E-3</v>
      </c>
    </row>
    <row r="26" spans="1:16" x14ac:dyDescent="0.35">
      <c r="B26" s="1" t="s">
        <v>113</v>
      </c>
      <c r="C26" s="42">
        <v>0.14199999999999999</v>
      </c>
      <c r="D26" s="42">
        <v>7.5999999999999998E-2</v>
      </c>
      <c r="E26" s="42">
        <v>2.5999999999999999E-2</v>
      </c>
      <c r="F26" s="42">
        <v>6.8000000000000005E-2</v>
      </c>
      <c r="G26" s="42">
        <v>5.650676235266805E-2</v>
      </c>
      <c r="H26" s="42">
        <v>3.1918330790507987E-2</v>
      </c>
      <c r="I26" s="42">
        <v>-5.7358260027167263E-2</v>
      </c>
      <c r="J26" s="42">
        <v>-2.1415064443050524E-2</v>
      </c>
      <c r="K26" s="35">
        <v>-8.7689944897247685E-2</v>
      </c>
      <c r="L26" s="35">
        <v>-8.6781272961506395E-2</v>
      </c>
      <c r="M26" s="35">
        <v>3.2833892277106536E-4</v>
      </c>
      <c r="N26" s="35">
        <v>-1.1344488512420647E-2</v>
      </c>
      <c r="O26" s="81">
        <v>3.3315776996213353E-2</v>
      </c>
      <c r="P26" s="35">
        <v>2.1700000000000001E-2</v>
      </c>
    </row>
  </sheetData>
  <mergeCells count="1">
    <mergeCell ref="B1:B3"/>
  </mergeCells>
  <phoneticPr fontId="17"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545334D67955B44CAA61C06E2B045CE8" ma:contentTypeVersion="19" ma:contentTypeDescription="Crear nuevo documento." ma:contentTypeScope="" ma:versionID="bf7b6b6876225b57053a784e1bbdcb92">
  <xsd:schema xmlns:xsd="http://www.w3.org/2001/XMLSchema" xmlns:xs="http://www.w3.org/2001/XMLSchema" xmlns:p="http://schemas.microsoft.com/office/2006/metadata/properties" xmlns:ns2="d5d44c87-ff30-43e1-83af-32b8ffdd62bb" xmlns:ns3="a9d8ff8e-2676-48e3-acec-74fa4bc5598a" xmlns:ns4="ba29b6f4-b2bf-4ba7-b7a8-a58b094d0a5a" targetNamespace="http://schemas.microsoft.com/office/2006/metadata/properties" ma:root="true" ma:fieldsID="32633ed9fcba5074f3ffa3c9cffaa543" ns2:_="" ns3:_="" ns4:_="">
    <xsd:import namespace="d5d44c87-ff30-43e1-83af-32b8ffdd62bb"/>
    <xsd:import namespace="a9d8ff8e-2676-48e3-acec-74fa4bc5598a"/>
    <xsd:import namespace="ba29b6f4-b2bf-4ba7-b7a8-a58b094d0a5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ServiceLocation" minOccurs="0"/>
                <xsd:element ref="ns2:MediaLengthInSeconds" minOccurs="0"/>
                <xsd:element ref="ns2:lcf76f155ced4ddcb4097134ff3c332f" minOccurs="0"/>
                <xsd:element ref="ns4: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5d44c87-ff30-43e1-83af-32b8ffdd62b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Etiquetas de imagen" ma:readOnly="false" ma:fieldId="{5cf76f15-5ced-4ddc-b409-7134ff3c332f}" ma:taxonomyMulti="true" ma:sspId="9c1abab2-81ff-46f1-a8c5-4fd1ff2e21c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9d8ff8e-2676-48e3-acec-74fa4bc5598a" elementFormDefault="qualified">
    <xsd:import namespace="http://schemas.microsoft.com/office/2006/documentManagement/types"/>
    <xsd:import namespace="http://schemas.microsoft.com/office/infopath/2007/PartnerControls"/>
    <xsd:element name="SharedWithUsers" ma:index="16"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Detalles de uso compartido"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a29b6f4-b2bf-4ba7-b7a8-a58b094d0a5a"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977db880-22af-4a34-9f0b-91d4b5dd5d0d}" ma:internalName="TaxCatchAll" ma:showField="CatchAllData" ma:web="a9d8ff8e-2676-48e3-acec-74fa4bc5598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ba29b6f4-b2bf-4ba7-b7a8-a58b094d0a5a" xsi:nil="true"/>
    <lcf76f155ced4ddcb4097134ff3c332f xmlns="d5d44c87-ff30-43e1-83af-32b8ffdd62bb">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62277C8-EA9B-4430-8220-7E36595B9ED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5d44c87-ff30-43e1-83af-32b8ffdd62bb"/>
    <ds:schemaRef ds:uri="a9d8ff8e-2676-48e3-acec-74fa4bc5598a"/>
    <ds:schemaRef ds:uri="ba29b6f4-b2bf-4ba7-b7a8-a58b094d0a5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6161ABE-ECE1-42A8-BEE4-ABBD04889B6C}">
  <ds:schemaRefs>
    <ds:schemaRef ds:uri="http://schemas.microsoft.com/office/2006/metadata/properties"/>
    <ds:schemaRef ds:uri="http://schemas.microsoft.com/office/infopath/2007/PartnerControls"/>
    <ds:schemaRef ds:uri="ba29b6f4-b2bf-4ba7-b7a8-a58b094d0a5a"/>
    <ds:schemaRef ds:uri="d5d44c87-ff30-43e1-83af-32b8ffdd62bb"/>
  </ds:schemaRefs>
</ds:datastoreItem>
</file>

<file path=customXml/itemProps3.xml><?xml version="1.0" encoding="utf-8"?>
<ds:datastoreItem xmlns:ds="http://schemas.openxmlformats.org/officeDocument/2006/customXml" ds:itemID="{99098F11-9BF7-4B55-8CBE-BCB8A6EDB0CA}">
  <ds:schemaRefs>
    <ds:schemaRef ds:uri="http://schemas.microsoft.com/sharepoint/v3/contenttype/forms"/>
  </ds:schemaRefs>
</ds:datastoreItem>
</file>

<file path=docMetadata/LabelInfo.xml><?xml version="1.0" encoding="utf-8"?>
<clbl:labelList xmlns:clbl="http://schemas.microsoft.com/office/2020/mipLabelMetadata">
  <clbl:label id="{1928502c-fb87-4df2-b484-8111cd6f910b}" enabled="1" method="Standard" siteId="{faa44fd9-dabe-4064-a6bb-59608ea9d0f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4</vt:i4>
      </vt:variant>
    </vt:vector>
  </HeadingPairs>
  <TitlesOfParts>
    <vt:vector size="9" baseType="lpstr">
      <vt:lpstr>Balance</vt:lpstr>
      <vt:lpstr>Estado de Resultados</vt:lpstr>
      <vt:lpstr>Flujo de Caja</vt:lpstr>
      <vt:lpstr>Cifras Ajustadas por región</vt:lpstr>
      <vt:lpstr>Precios</vt:lpstr>
      <vt:lpstr>Balance!_Int_f00XB3gP</vt:lpstr>
      <vt:lpstr>Balance!_Int_uKMhTnvy</vt:lpstr>
      <vt:lpstr>Balance!_Int_X8Aw4wXX</vt:lpstr>
      <vt:lpstr>Balance!_Int_xtIaHJ7G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Indira Melissa Diaz</dc:creator>
  <cp:lastModifiedBy>Juan Santiago Alba Chica</cp:lastModifiedBy>
  <cp:lastPrinted>2024-11-07T23:38:51Z</cp:lastPrinted>
  <dcterms:created xsi:type="dcterms:W3CDTF">2023-11-24T19:06:55Z</dcterms:created>
  <dcterms:modified xsi:type="dcterms:W3CDTF">2026-08-12T20:40:36Z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0x010100545334D67955B44CAA61C06E2B045CE8</vt:lpwstr>
  </property>
  <property fmtid="{D5CDD505-2E9C-101B-9397-08002B2CF9AE}" pid="3" name="MediaServiceImageTags">
    <vt:lpwstr/>
  </property>
</Properties>
</file>